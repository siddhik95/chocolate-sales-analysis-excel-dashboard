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G:\Projects\"/>
    </mc:Choice>
  </mc:AlternateContent>
  <xr:revisionPtr revIDLastSave="0" documentId="13_ncr:1_{F4E8529E-BF22-40C9-B7BF-F82E734EFF30}" xr6:coauthVersionLast="47" xr6:coauthVersionMax="47" xr10:uidLastSave="{00000000-0000-0000-0000-000000000000}"/>
  <bookViews>
    <workbookView xWindow="0" yWindow="360" windowWidth="23256" windowHeight="12456" activeTab="6" xr2:uid="{00000000-000D-0000-FFFF-FFFF00000000}"/>
  </bookViews>
  <sheets>
    <sheet name="Chocolate_Sales" sheetId="1" r:id="rId1"/>
    <sheet name="Sales by region" sheetId="2" r:id="rId2"/>
    <sheet name="Sales by Region &amp; Channel" sheetId="3" r:id="rId3"/>
    <sheet name="Sales by Category" sheetId="4" r:id="rId4"/>
    <sheet name="Monthly Sales" sheetId="6" r:id="rId5"/>
    <sheet name="Sales by Category &amp; Region" sheetId="7" r:id="rId6"/>
    <sheet name="Dashboard" sheetId="8" r:id="rId7"/>
  </sheets>
  <definedNames>
    <definedName name="Slicer_Category">#N/A</definedName>
    <definedName name="Slicer_Channel">#N/A</definedName>
    <definedName name="Slicer_Month">#N/A</definedName>
    <definedName name="Slicer_Region">#N/A</definedName>
    <definedName name="Slicer_Region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01" i="1" l="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N601" i="1" l="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<sst xmlns="http://schemas.openxmlformats.org/spreadsheetml/2006/main" count="4879" uniqueCount="1165">
  <si>
    <t>Order_ID</t>
  </si>
  <si>
    <t>Order_Date</t>
  </si>
  <si>
    <t>Product_ID</t>
  </si>
  <si>
    <t>Chocolate_Name</t>
  </si>
  <si>
    <t>Category</t>
  </si>
  <si>
    <t>Unit_Price</t>
  </si>
  <si>
    <t>Units_Sold</t>
  </si>
  <si>
    <t>Gross_Sales</t>
  </si>
  <si>
    <t>Discount</t>
  </si>
  <si>
    <t>Sales</t>
  </si>
  <si>
    <t>Region</t>
  </si>
  <si>
    <t>Channel</t>
  </si>
  <si>
    <t>Sales_Rep</t>
  </si>
  <si>
    <t>ORD00001</t>
  </si>
  <si>
    <t>2025-11-24</t>
  </si>
  <si>
    <t>CHOC0029</t>
  </si>
  <si>
    <t>Dark Delight</t>
  </si>
  <si>
    <t>Wafer</t>
  </si>
  <si>
    <t>North</t>
  </si>
  <si>
    <t>Retail</t>
  </si>
  <si>
    <t>K. Patel</t>
  </si>
  <si>
    <t>ORD00002</t>
  </si>
  <si>
    <t>2025-08-05</t>
  </si>
  <si>
    <t>CHOC0009</t>
  </si>
  <si>
    <t>Dark</t>
  </si>
  <si>
    <t>Central</t>
  </si>
  <si>
    <t>Online</t>
  </si>
  <si>
    <t>M. Khan</t>
  </si>
  <si>
    <t>ORD00003</t>
  </si>
  <si>
    <t>2025-11-29</t>
  </si>
  <si>
    <t>CHOC0180</t>
  </si>
  <si>
    <t>White Pearl</t>
  </si>
  <si>
    <t>Truffle</t>
  </si>
  <si>
    <t>ORD00004</t>
  </si>
  <si>
    <t>CHOC0088</t>
  </si>
  <si>
    <t>Berry Infusion</t>
  </si>
  <si>
    <t>Milk</t>
  </si>
  <si>
    <t>S. Nair</t>
  </si>
  <si>
    <t>ORD00005</t>
  </si>
  <si>
    <t>2025-02-19</t>
  </si>
  <si>
    <t>CHOC0092</t>
  </si>
  <si>
    <t>Silk Sensation</t>
  </si>
  <si>
    <t>Filled</t>
  </si>
  <si>
    <t>ORD00006</t>
  </si>
  <si>
    <t>2025-02-10</t>
  </si>
  <si>
    <t>CHOC0142</t>
  </si>
  <si>
    <t>Minty Magic</t>
  </si>
  <si>
    <t>ORD00007</t>
  </si>
  <si>
    <t>2025-02-05</t>
  </si>
  <si>
    <t>CHOC0012</t>
  </si>
  <si>
    <t>Choco Supreme</t>
  </si>
  <si>
    <t>White</t>
  </si>
  <si>
    <t>Supermarket</t>
  </si>
  <si>
    <t>P. Iyer</t>
  </si>
  <si>
    <t>ORD00008</t>
  </si>
  <si>
    <t>2025-08-21</t>
  </si>
  <si>
    <t>CHOC0163</t>
  </si>
  <si>
    <t>ORD00009</t>
  </si>
  <si>
    <t>2025-05-06</t>
  </si>
  <si>
    <t>CHOC0042</t>
  </si>
  <si>
    <t>Choco Fusion</t>
  </si>
  <si>
    <t>East</t>
  </si>
  <si>
    <t>R. Mehta</t>
  </si>
  <si>
    <t>ORD00010</t>
  </si>
  <si>
    <t>2025-01-17</t>
  </si>
  <si>
    <t>CHOC0081</t>
  </si>
  <si>
    <t>Classic Cocoa</t>
  </si>
  <si>
    <t>South</t>
  </si>
  <si>
    <t>ORD00011</t>
  </si>
  <si>
    <t>2025-11-26</t>
  </si>
  <si>
    <t>CHOC0118</t>
  </si>
  <si>
    <t>Almond Elegance</t>
  </si>
  <si>
    <t>ORD00012</t>
  </si>
  <si>
    <t>2025-07-24</t>
  </si>
  <si>
    <t>CHOC0093</t>
  </si>
  <si>
    <t>ORD00013</t>
  </si>
  <si>
    <t>2025-03-23</t>
  </si>
  <si>
    <t>CHOC0175</t>
  </si>
  <si>
    <t>Royal Fudge</t>
  </si>
  <si>
    <t>Distributor</t>
  </si>
  <si>
    <t>ORD00014</t>
  </si>
  <si>
    <t>2025-01-06</t>
  </si>
  <si>
    <t>Caramel Crunch</t>
  </si>
  <si>
    <t>ORD00015</t>
  </si>
  <si>
    <t>2025-08-11</t>
  </si>
  <si>
    <t>CHOC0041</t>
  </si>
  <si>
    <t>ORD00016</t>
  </si>
  <si>
    <t>2025-02-24</t>
  </si>
  <si>
    <t>CHOC0161</t>
  </si>
  <si>
    <t>ORD00017</t>
  </si>
  <si>
    <t>2025-09-29</t>
  </si>
  <si>
    <t>CHOC0001</t>
  </si>
  <si>
    <t>Choco Luxe</t>
  </si>
  <si>
    <t>A. Sharma</t>
  </si>
  <si>
    <t>ORD00018</t>
  </si>
  <si>
    <t>2025-05-04</t>
  </si>
  <si>
    <t>CHOC0146</t>
  </si>
  <si>
    <t>Hazelnut Heaven</t>
  </si>
  <si>
    <t>ORD00019</t>
  </si>
  <si>
    <t>2025-12-04</t>
  </si>
  <si>
    <t>CHOC0122</t>
  </si>
  <si>
    <t>ORD00020</t>
  </si>
  <si>
    <t>2025-06-09</t>
  </si>
  <si>
    <t>CHOC0103</t>
  </si>
  <si>
    <t>ORD00021</t>
  </si>
  <si>
    <t>2025-06-23</t>
  </si>
  <si>
    <t>CHOC0006</t>
  </si>
  <si>
    <t>Lava Bite</t>
  </si>
  <si>
    <t>ORD00022</t>
  </si>
  <si>
    <t>2025-02-04</t>
  </si>
  <si>
    <t>Golden Nougat</t>
  </si>
  <si>
    <t>ORD00023</t>
  </si>
  <si>
    <t>2025-10-20</t>
  </si>
  <si>
    <t>CHOC0148</t>
  </si>
  <si>
    <t>Crispy Wafer</t>
  </si>
  <si>
    <t>ORD00024</t>
  </si>
  <si>
    <t>CHOC0111</t>
  </si>
  <si>
    <t>ORD00025</t>
  </si>
  <si>
    <t>CHOC0028</t>
  </si>
  <si>
    <t>West</t>
  </si>
  <si>
    <t>ORD00026</t>
  </si>
  <si>
    <t>2025-08-25</t>
  </si>
  <si>
    <t>CHOC0064</t>
  </si>
  <si>
    <t>ORD00027</t>
  </si>
  <si>
    <t>2025-05-02</t>
  </si>
  <si>
    <t>CHOC0043</t>
  </si>
  <si>
    <t>ORD00028</t>
  </si>
  <si>
    <t>2025-01-02</t>
  </si>
  <si>
    <t>CHOC0100</t>
  </si>
  <si>
    <t>ORD00029</t>
  </si>
  <si>
    <t>2025-04-22</t>
  </si>
  <si>
    <t>CHOC0015</t>
  </si>
  <si>
    <t>ORD00030</t>
  </si>
  <si>
    <t>2025-09-02</t>
  </si>
  <si>
    <t>CHOC0129</t>
  </si>
  <si>
    <t>Mocha Dream</t>
  </si>
  <si>
    <t>ORD00031</t>
  </si>
  <si>
    <t>CHOC0173</t>
  </si>
  <si>
    <t>ORD00032</t>
  </si>
  <si>
    <t>2025-02-11</t>
  </si>
  <si>
    <t>CHOC0108</t>
  </si>
  <si>
    <t>ORD00033</t>
  </si>
  <si>
    <t>2025-05-16</t>
  </si>
  <si>
    <t>CHOC0102</t>
  </si>
  <si>
    <t>ORD00034</t>
  </si>
  <si>
    <t>2025-11-15</t>
  </si>
  <si>
    <t>CHOC0145</t>
  </si>
  <si>
    <t>ORD00035</t>
  </si>
  <si>
    <t>CHOC0095</t>
  </si>
  <si>
    <t>ORD00036</t>
  </si>
  <si>
    <t>2025-10-11</t>
  </si>
  <si>
    <t>CHOC0077</t>
  </si>
  <si>
    <t>ORD00037</t>
  </si>
  <si>
    <t>2025-05-25</t>
  </si>
  <si>
    <t>CHOC0155</t>
  </si>
  <si>
    <t>Velvet Truffle</t>
  </si>
  <si>
    <t>ORD00038</t>
  </si>
  <si>
    <t>2025-01-27</t>
  </si>
  <si>
    <t>CHOC0024</t>
  </si>
  <si>
    <t>ORD00039</t>
  </si>
  <si>
    <t>2025-08-15</t>
  </si>
  <si>
    <t>ORD00040</t>
  </si>
  <si>
    <t>2025-10-26</t>
  </si>
  <si>
    <t>ORD00041</t>
  </si>
  <si>
    <t>2025-12-16</t>
  </si>
  <si>
    <t>ORD00042</t>
  </si>
  <si>
    <t>2025-03-25</t>
  </si>
  <si>
    <t>CHOC0046</t>
  </si>
  <si>
    <t>ORD00043</t>
  </si>
  <si>
    <t>ORD00044</t>
  </si>
  <si>
    <t>2025-06-29</t>
  </si>
  <si>
    <t>CHOC0079</t>
  </si>
  <si>
    <t>ORD00045</t>
  </si>
  <si>
    <t>2025-05-23</t>
  </si>
  <si>
    <t>CHOC0090</t>
  </si>
  <si>
    <t>ORD00046</t>
  </si>
  <si>
    <t>2025-04-02</t>
  </si>
  <si>
    <t>CHOC0149</t>
  </si>
  <si>
    <t>ORD00047</t>
  </si>
  <si>
    <t>2025-09-19</t>
  </si>
  <si>
    <t>CHOC0030</t>
  </si>
  <si>
    <t>ORD00048</t>
  </si>
  <si>
    <t>2025-08-09</t>
  </si>
  <si>
    <t>CHOC0018</t>
  </si>
  <si>
    <t>ORD00049</t>
  </si>
  <si>
    <t>2025-07-29</t>
  </si>
  <si>
    <t>CHOC0084</t>
  </si>
  <si>
    <t>ORD00050</t>
  </si>
  <si>
    <t>2025-03-31</t>
  </si>
  <si>
    <t>CHOC0158</t>
  </si>
  <si>
    <t>ORD00051</t>
  </si>
  <si>
    <t>ORD00052</t>
  </si>
  <si>
    <t>2025-03-28</t>
  </si>
  <si>
    <t>CHOC0169</t>
  </si>
  <si>
    <t>ORD00053</t>
  </si>
  <si>
    <t>2025-06-08</t>
  </si>
  <si>
    <t>CHOC0058</t>
  </si>
  <si>
    <t>ORD00054</t>
  </si>
  <si>
    <t>2025-08-01</t>
  </si>
  <si>
    <t>CHOC0162</t>
  </si>
  <si>
    <t>ORD00055</t>
  </si>
  <si>
    <t>2025-12-02</t>
  </si>
  <si>
    <t>CHOC0177</t>
  </si>
  <si>
    <t>ORD00056</t>
  </si>
  <si>
    <t>2025-10-13</t>
  </si>
  <si>
    <t>ORD00057</t>
  </si>
  <si>
    <t>2025-08-17</t>
  </si>
  <si>
    <t>ORD00058</t>
  </si>
  <si>
    <t>2025-05-03</t>
  </si>
  <si>
    <t>CHOC0071</t>
  </si>
  <si>
    <t>ORD00059</t>
  </si>
  <si>
    <t>CHOC0036</t>
  </si>
  <si>
    <t>ORD00060</t>
  </si>
  <si>
    <t>2025-06-19</t>
  </si>
  <si>
    <t>CHOC0139</t>
  </si>
  <si>
    <t>ORD00061</t>
  </si>
  <si>
    <t>2025-07-14</t>
  </si>
  <si>
    <t>CHOC0123</t>
  </si>
  <si>
    <t>ORD00062</t>
  </si>
  <si>
    <t>2025-04-23</t>
  </si>
  <si>
    <t>CHOC0070</t>
  </si>
  <si>
    <t>ORD00063</t>
  </si>
  <si>
    <t>CHOC0137</t>
  </si>
  <si>
    <t>ORD00064</t>
  </si>
  <si>
    <t>CHOC0047</t>
  </si>
  <si>
    <t>Milk Bliss</t>
  </si>
  <si>
    <t>ORD00065</t>
  </si>
  <si>
    <t>CHOC0193</t>
  </si>
  <si>
    <t>ORD00066</t>
  </si>
  <si>
    <t>2025-04-25</t>
  </si>
  <si>
    <t>CHOC0167</t>
  </si>
  <si>
    <t>ORD00067</t>
  </si>
  <si>
    <t>2025-03-20</t>
  </si>
  <si>
    <t>CHOC0062</t>
  </si>
  <si>
    <t>ORD00068</t>
  </si>
  <si>
    <t>2025-03-27</t>
  </si>
  <si>
    <t>CHOC0156</t>
  </si>
  <si>
    <t>ORD00069</t>
  </si>
  <si>
    <t>2025-01-14</t>
  </si>
  <si>
    <t>CHOC0080</t>
  </si>
  <si>
    <t>ORD00070</t>
  </si>
  <si>
    <t>2025-12-20</t>
  </si>
  <si>
    <t>ORD00071</t>
  </si>
  <si>
    <t>2025-09-30</t>
  </si>
  <si>
    <t>CHOC0110</t>
  </si>
  <si>
    <t>ORD00072</t>
  </si>
  <si>
    <t>2025-08-10</t>
  </si>
  <si>
    <t>ORD00073</t>
  </si>
  <si>
    <t>2025-08-12</t>
  </si>
  <si>
    <t>CHOC0188</t>
  </si>
  <si>
    <t>ORD00074</t>
  </si>
  <si>
    <t>2025-08-26</t>
  </si>
  <si>
    <t>ORD00075</t>
  </si>
  <si>
    <t>2025-04-19</t>
  </si>
  <si>
    <t>CHOC0091</t>
  </si>
  <si>
    <t>ORD00076</t>
  </si>
  <si>
    <t>2025-04-08</t>
  </si>
  <si>
    <t>CHOC0022</t>
  </si>
  <si>
    <t>ORD00077</t>
  </si>
  <si>
    <t>2025-01-09</t>
  </si>
  <si>
    <t>ORD00078</t>
  </si>
  <si>
    <t>CHOC0136</t>
  </si>
  <si>
    <t>ORD00079</t>
  </si>
  <si>
    <t>2025-06-06</t>
  </si>
  <si>
    <t>CHOC0065</t>
  </si>
  <si>
    <t>ORD00080</t>
  </si>
  <si>
    <t>2025-04-21</t>
  </si>
  <si>
    <t>CHOC0190</t>
  </si>
  <si>
    <t>ORD00081</t>
  </si>
  <si>
    <t>2025-04-27</t>
  </si>
  <si>
    <t>Cocoa Royale</t>
  </si>
  <si>
    <t>ORD00082</t>
  </si>
  <si>
    <t>CHOC0075</t>
  </si>
  <si>
    <t>ORD00083</t>
  </si>
  <si>
    <t>2025-09-03</t>
  </si>
  <si>
    <t>CHOC0113</t>
  </si>
  <si>
    <t>ORD00084</t>
  </si>
  <si>
    <t>2025-09-09</t>
  </si>
  <si>
    <t>CHOC0019</t>
  </si>
  <si>
    <t>ORD00085</t>
  </si>
  <si>
    <t>2025-05-08</t>
  </si>
  <si>
    <t>CHOC0031</t>
  </si>
  <si>
    <t>ORD00086</t>
  </si>
  <si>
    <t>ORD00087</t>
  </si>
  <si>
    <t>2025-11-17</t>
  </si>
  <si>
    <t>CHOC0055</t>
  </si>
  <si>
    <t>ORD00088</t>
  </si>
  <si>
    <t>CHOC0105</t>
  </si>
  <si>
    <t>ORD00089</t>
  </si>
  <si>
    <t>ORD00090</t>
  </si>
  <si>
    <t>2025-02-28</t>
  </si>
  <si>
    <t>CHOC0140</t>
  </si>
  <si>
    <t>ORD00091</t>
  </si>
  <si>
    <t>2025-06-07</t>
  </si>
  <si>
    <t>CHOC0153</t>
  </si>
  <si>
    <t>ORD00092</t>
  </si>
  <si>
    <t>2025-10-04</t>
  </si>
  <si>
    <t>CHOC0127</t>
  </si>
  <si>
    <t>ORD00093</t>
  </si>
  <si>
    <t>2025-02-16</t>
  </si>
  <si>
    <t>CHOC0059</t>
  </si>
  <si>
    <t>ORD00094</t>
  </si>
  <si>
    <t>2025-08-29</t>
  </si>
  <si>
    <t>CHOC0133</t>
  </si>
  <si>
    <t>ORD00095</t>
  </si>
  <si>
    <t>2025-06-28</t>
  </si>
  <si>
    <t>ORD00096</t>
  </si>
  <si>
    <t>2025-09-11</t>
  </si>
  <si>
    <t>CHOC0074</t>
  </si>
  <si>
    <t>ORD00097</t>
  </si>
  <si>
    <t>2025-07-26</t>
  </si>
  <si>
    <t>CHOC0132</t>
  </si>
  <si>
    <t>ORD00098</t>
  </si>
  <si>
    <t>2025-07-05</t>
  </si>
  <si>
    <t>CHOC0160</t>
  </si>
  <si>
    <t>ORD00099</t>
  </si>
  <si>
    <t>2025-08-13</t>
  </si>
  <si>
    <t>CHOC0179</t>
  </si>
  <si>
    <t>ORD00100</t>
  </si>
  <si>
    <t>2025-01-08</t>
  </si>
  <si>
    <t>ORD00101</t>
  </si>
  <si>
    <t>CHOC0128</t>
  </si>
  <si>
    <t>ORD00102</t>
  </si>
  <si>
    <t>2025-10-10</t>
  </si>
  <si>
    <t>CHOC0038</t>
  </si>
  <si>
    <t>ORD00103</t>
  </si>
  <si>
    <t>2025-06-24</t>
  </si>
  <si>
    <t>CHOC0130</t>
  </si>
  <si>
    <t>ORD00104</t>
  </si>
  <si>
    <t>2025-09-05</t>
  </si>
  <si>
    <t>CHOC0089</t>
  </si>
  <si>
    <t>ORD00105</t>
  </si>
  <si>
    <t>CHOC0147</t>
  </si>
  <si>
    <t>ORD00106</t>
  </si>
  <si>
    <t>2025-07-15</t>
  </si>
  <si>
    <t>CHOC0099</t>
  </si>
  <si>
    <t>ORD00107</t>
  </si>
  <si>
    <t>2025-09-27</t>
  </si>
  <si>
    <t>CHOC0117</t>
  </si>
  <si>
    <t>ORD00108</t>
  </si>
  <si>
    <t>ORD00109</t>
  </si>
  <si>
    <t>2025-01-19</t>
  </si>
  <si>
    <t>CHOC0159</t>
  </si>
  <si>
    <t>ORD00110</t>
  </si>
  <si>
    <t>2025-02-20</t>
  </si>
  <si>
    <t>CHOC0195</t>
  </si>
  <si>
    <t>ORD00111</t>
  </si>
  <si>
    <t>2025-05-31</t>
  </si>
  <si>
    <t>ORD00112</t>
  </si>
  <si>
    <t>CHOC0021</t>
  </si>
  <si>
    <t>ORD00113</t>
  </si>
  <si>
    <t>CHOC0164</t>
  </si>
  <si>
    <t>ORD00114</t>
  </si>
  <si>
    <t>ORD00115</t>
  </si>
  <si>
    <t>2025-07-16</t>
  </si>
  <si>
    <t>CHOC0124</t>
  </si>
  <si>
    <t>ORD00116</t>
  </si>
  <si>
    <t>2025-07-22</t>
  </si>
  <si>
    <t>ORD00117</t>
  </si>
  <si>
    <t>2025-04-28</t>
  </si>
  <si>
    <t>ORD00118</t>
  </si>
  <si>
    <t>2025-11-27</t>
  </si>
  <si>
    <t>CHOC0011</t>
  </si>
  <si>
    <t>ORD00119</t>
  </si>
  <si>
    <t>CHOC0045</t>
  </si>
  <si>
    <t>ORD00120</t>
  </si>
  <si>
    <t>2025-05-12</t>
  </si>
  <si>
    <t>ORD00121</t>
  </si>
  <si>
    <t>2025-04-26</t>
  </si>
  <si>
    <t>CHOC0174</t>
  </si>
  <si>
    <t>ORD00122</t>
  </si>
  <si>
    <t>2025-03-05</t>
  </si>
  <si>
    <t>ORD00123</t>
  </si>
  <si>
    <t>2025-04-30</t>
  </si>
  <si>
    <t>CHOC0121</t>
  </si>
  <si>
    <t>ORD00124</t>
  </si>
  <si>
    <t>2025-02-02</t>
  </si>
  <si>
    <t>ORD00125</t>
  </si>
  <si>
    <t>2025-06-05</t>
  </si>
  <si>
    <t>ORD00126</t>
  </si>
  <si>
    <t>2025-12-10</t>
  </si>
  <si>
    <t>CHOC0191</t>
  </si>
  <si>
    <t>ORD00127</t>
  </si>
  <si>
    <t>2025-11-12</t>
  </si>
  <si>
    <t>ORD00128</t>
  </si>
  <si>
    <t>CHOC0176</t>
  </si>
  <si>
    <t>ORD00129</t>
  </si>
  <si>
    <t>CHOC0032</t>
  </si>
  <si>
    <t>ORD00130</t>
  </si>
  <si>
    <t>2025-03-06</t>
  </si>
  <si>
    <t>ORD00131</t>
  </si>
  <si>
    <t>2025-06-18</t>
  </si>
  <si>
    <t>CHOC0199</t>
  </si>
  <si>
    <t>ORD00132</t>
  </si>
  <si>
    <t>2025-02-26</t>
  </si>
  <si>
    <t>CHOC0170</t>
  </si>
  <si>
    <t>ORD00133</t>
  </si>
  <si>
    <t>CHOC0068</t>
  </si>
  <si>
    <t>ORD00134</t>
  </si>
  <si>
    <t>ORD00135</t>
  </si>
  <si>
    <t>CHOC0008</t>
  </si>
  <si>
    <t>ORD00136</t>
  </si>
  <si>
    <t>CHOC0083</t>
  </si>
  <si>
    <t>ORD00137</t>
  </si>
  <si>
    <t>2025-09-16</t>
  </si>
  <si>
    <t>ORD00138</t>
  </si>
  <si>
    <t>2025-07-31</t>
  </si>
  <si>
    <t>CHOC0087</t>
  </si>
  <si>
    <t>ORD00139</t>
  </si>
  <si>
    <t>2025-05-11</t>
  </si>
  <si>
    <t>CHOC0096</t>
  </si>
  <si>
    <t>ORD00140</t>
  </si>
  <si>
    <t>ORD00141</t>
  </si>
  <si>
    <t>2025-12-07</t>
  </si>
  <si>
    <t>ORD00142</t>
  </si>
  <si>
    <t>2025-09-17</t>
  </si>
  <si>
    <t>ORD00143</t>
  </si>
  <si>
    <t>ORD00144</t>
  </si>
  <si>
    <t>2025-04-03</t>
  </si>
  <si>
    <t>ORD00145</t>
  </si>
  <si>
    <t>2025-03-14</t>
  </si>
  <si>
    <t>ORD00146</t>
  </si>
  <si>
    <t>2025-03-22</t>
  </si>
  <si>
    <t>ORD00147</t>
  </si>
  <si>
    <t>2025-11-13</t>
  </si>
  <si>
    <t>CHOC0013</t>
  </si>
  <si>
    <t>ORD00148</t>
  </si>
  <si>
    <t>2025-05-20</t>
  </si>
  <si>
    <t>CHOC0056</t>
  </si>
  <si>
    <t>ORD00149</t>
  </si>
  <si>
    <t>2025-12-08</t>
  </si>
  <si>
    <t>ORD00150</t>
  </si>
  <si>
    <t>CHOC0197</t>
  </si>
  <si>
    <t>ORD00151</t>
  </si>
  <si>
    <t>2025-03-08</t>
  </si>
  <si>
    <t>CHOC0098</t>
  </si>
  <si>
    <t>ORD00152</t>
  </si>
  <si>
    <t>2025-01-22</t>
  </si>
  <si>
    <t>CHOC0112</t>
  </si>
  <si>
    <t>ORD00153</t>
  </si>
  <si>
    <t>2025-07-27</t>
  </si>
  <si>
    <t>CHOC0182</t>
  </si>
  <si>
    <t>ORD00154</t>
  </si>
  <si>
    <t>CHOC0023</t>
  </si>
  <si>
    <t>ORD00155</t>
  </si>
  <si>
    <t>ORD00156</t>
  </si>
  <si>
    <t>CHOC0050</t>
  </si>
  <si>
    <t>ORD00157</t>
  </si>
  <si>
    <t>CHOC0051</t>
  </si>
  <si>
    <t>ORD00158</t>
  </si>
  <si>
    <t>2025-10-16</t>
  </si>
  <si>
    <t>ORD00159</t>
  </si>
  <si>
    <t>ORD00160</t>
  </si>
  <si>
    <t>CHOC0116</t>
  </si>
  <si>
    <t>ORD00161</t>
  </si>
  <si>
    <t>2025-10-25</t>
  </si>
  <si>
    <t>ORD00162</t>
  </si>
  <si>
    <t>2025-03-19</t>
  </si>
  <si>
    <t>CHOC0016</t>
  </si>
  <si>
    <t>ORD00163</t>
  </si>
  <si>
    <t>2025-05-07</t>
  </si>
  <si>
    <t>ORD00164</t>
  </si>
  <si>
    <t>2025-07-18</t>
  </si>
  <si>
    <t>ORD00165</t>
  </si>
  <si>
    <t>ORD00166</t>
  </si>
  <si>
    <t>2025-12-06</t>
  </si>
  <si>
    <t>CHOC0037</t>
  </si>
  <si>
    <t>ORD00167</t>
  </si>
  <si>
    <t>2025-10-14</t>
  </si>
  <si>
    <t>CHOC0097</t>
  </si>
  <si>
    <t>ORD00168</t>
  </si>
  <si>
    <t>ORD00169</t>
  </si>
  <si>
    <t>2025-03-21</t>
  </si>
  <si>
    <t>CHOC0020</t>
  </si>
  <si>
    <t>ORD00170</t>
  </si>
  <si>
    <t>2025-07-12</t>
  </si>
  <si>
    <t>CHOC0040</t>
  </si>
  <si>
    <t>ORD00171</t>
  </si>
  <si>
    <t>2025-07-06</t>
  </si>
  <si>
    <t>ORD00172</t>
  </si>
  <si>
    <t>ORD00173</t>
  </si>
  <si>
    <t>2025-09-28</t>
  </si>
  <si>
    <t>ORD00174</t>
  </si>
  <si>
    <t>CHOC0027</t>
  </si>
  <si>
    <t>ORD00175</t>
  </si>
  <si>
    <t>2025-03-17</t>
  </si>
  <si>
    <t>ORD00176</t>
  </si>
  <si>
    <t>ORD00177</t>
  </si>
  <si>
    <t>CHOC0183</t>
  </si>
  <si>
    <t>ORD00178</t>
  </si>
  <si>
    <t>CHOC0002</t>
  </si>
  <si>
    <t>ORD00179</t>
  </si>
  <si>
    <t>2025-05-28</t>
  </si>
  <si>
    <t>CHOC0061</t>
  </si>
  <si>
    <t>ORD00180</t>
  </si>
  <si>
    <t>2025-11-02</t>
  </si>
  <si>
    <t>CHOC0138</t>
  </si>
  <si>
    <t>ORD00181</t>
  </si>
  <si>
    <t>2025-11-11</t>
  </si>
  <si>
    <t>ORD00182</t>
  </si>
  <si>
    <t>ORD00183</t>
  </si>
  <si>
    <t>2025-05-10</t>
  </si>
  <si>
    <t>CHOC0192</t>
  </si>
  <si>
    <t>ORD00184</t>
  </si>
  <si>
    <t>2025-01-23</t>
  </si>
  <si>
    <t>ORD00185</t>
  </si>
  <si>
    <t>CHOC0184</t>
  </si>
  <si>
    <t>ORD00186</t>
  </si>
  <si>
    <t>2025-09-21</t>
  </si>
  <si>
    <t>ORD00187</t>
  </si>
  <si>
    <t>CHOC0085</t>
  </si>
  <si>
    <t>ORD00188</t>
  </si>
  <si>
    <t>2025-04-06</t>
  </si>
  <si>
    <t>ORD00189</t>
  </si>
  <si>
    <t>ORD00190</t>
  </si>
  <si>
    <t>ORD00191</t>
  </si>
  <si>
    <t>ORD00192</t>
  </si>
  <si>
    <t>2025-03-15</t>
  </si>
  <si>
    <t>ORD00193</t>
  </si>
  <si>
    <t>ORD00194</t>
  </si>
  <si>
    <t>2025-03-12</t>
  </si>
  <si>
    <t>ORD00195</t>
  </si>
  <si>
    <t>ORD00196</t>
  </si>
  <si>
    <t>2025-11-10</t>
  </si>
  <si>
    <t>ORD00197</t>
  </si>
  <si>
    <t>2025-08-16</t>
  </si>
  <si>
    <t>ORD00198</t>
  </si>
  <si>
    <t>2025-12-30</t>
  </si>
  <si>
    <t>ORD00199</t>
  </si>
  <si>
    <t>ORD00200</t>
  </si>
  <si>
    <t>ORD00201</t>
  </si>
  <si>
    <t>2025-02-07</t>
  </si>
  <si>
    <t>ORD00202</t>
  </si>
  <si>
    <t>2025-01-29</t>
  </si>
  <si>
    <t>ORD00203</t>
  </si>
  <si>
    <t>2025-05-26</t>
  </si>
  <si>
    <t>ORD00204</t>
  </si>
  <si>
    <t>2025-10-01</t>
  </si>
  <si>
    <t>ORD00205</t>
  </si>
  <si>
    <t>ORD00206</t>
  </si>
  <si>
    <t>ORD00207</t>
  </si>
  <si>
    <t>ORD00208</t>
  </si>
  <si>
    <t>2025-04-15</t>
  </si>
  <si>
    <t>ORD00209</t>
  </si>
  <si>
    <t>2025-07-09</t>
  </si>
  <si>
    <t>ORD00210</t>
  </si>
  <si>
    <t>CHOC0025</t>
  </si>
  <si>
    <t>ORD00211</t>
  </si>
  <si>
    <t>2025-10-23</t>
  </si>
  <si>
    <t>CHOC0185</t>
  </si>
  <si>
    <t>ORD00212</t>
  </si>
  <si>
    <t>2025-01-12</t>
  </si>
  <si>
    <t>ORD00213</t>
  </si>
  <si>
    <t>2025-01-26</t>
  </si>
  <si>
    <t>CHOC0073</t>
  </si>
  <si>
    <t>ORD00214</t>
  </si>
  <si>
    <t>CHOC0035</t>
  </si>
  <si>
    <t>ORD00215</t>
  </si>
  <si>
    <t>2025-10-19</t>
  </si>
  <si>
    <t>CHOC0144</t>
  </si>
  <si>
    <t>ORD00216</t>
  </si>
  <si>
    <t>2025-05-24</t>
  </si>
  <si>
    <t>ORD00217</t>
  </si>
  <si>
    <t>2025-07-07</t>
  </si>
  <si>
    <t>CHOC0194</t>
  </si>
  <si>
    <t>ORD00218</t>
  </si>
  <si>
    <t>2025-06-20</t>
  </si>
  <si>
    <t>ORD00219</t>
  </si>
  <si>
    <t>2025-07-21</t>
  </si>
  <si>
    <t>ORD00220</t>
  </si>
  <si>
    <t>ORD00221</t>
  </si>
  <si>
    <t>ORD00222</t>
  </si>
  <si>
    <t>2025-12-15</t>
  </si>
  <si>
    <t>CHOC0063</t>
  </si>
  <si>
    <t>ORD00223</t>
  </si>
  <si>
    <t>2025-08-03</t>
  </si>
  <si>
    <t>CHOC0039</t>
  </si>
  <si>
    <t>ORD00224</t>
  </si>
  <si>
    <t>2025-04-17</t>
  </si>
  <si>
    <t>ORD00225</t>
  </si>
  <si>
    <t>2025-06-25</t>
  </si>
  <si>
    <t>ORD00226</t>
  </si>
  <si>
    <t>CHOC0072</t>
  </si>
  <si>
    <t>ORD00227</t>
  </si>
  <si>
    <t>ORD00228</t>
  </si>
  <si>
    <t>2025-05-29</t>
  </si>
  <si>
    <t>ORD00229</t>
  </si>
  <si>
    <t>2025-04-14</t>
  </si>
  <si>
    <t>ORD00230</t>
  </si>
  <si>
    <t>CHOC0172</t>
  </si>
  <si>
    <t>ORD00231</t>
  </si>
  <si>
    <t>2025-08-30</t>
  </si>
  <si>
    <t>CHOC0026</t>
  </si>
  <si>
    <t>ORD00232</t>
  </si>
  <si>
    <t>2025-11-30</t>
  </si>
  <si>
    <t>CHOC0052</t>
  </si>
  <si>
    <t>ORD00233</t>
  </si>
  <si>
    <t>2025-01-20</t>
  </si>
  <si>
    <t>ORD00234</t>
  </si>
  <si>
    <t>CHOC0010</t>
  </si>
  <si>
    <t>ORD00235</t>
  </si>
  <si>
    <t>2025-10-06</t>
  </si>
  <si>
    <t>CHOC0135</t>
  </si>
  <si>
    <t>ORD00236</t>
  </si>
  <si>
    <t>ORD00237</t>
  </si>
  <si>
    <t>2025-12-12</t>
  </si>
  <si>
    <t>ORD00238</t>
  </si>
  <si>
    <t>2025-07-25</t>
  </si>
  <si>
    <t>ORD00239</t>
  </si>
  <si>
    <t>ORD00240</t>
  </si>
  <si>
    <t>2025-05-01</t>
  </si>
  <si>
    <t>ORD00241</t>
  </si>
  <si>
    <t>CHOC0057</t>
  </si>
  <si>
    <t>ORD00242</t>
  </si>
  <si>
    <t>ORD00243</t>
  </si>
  <si>
    <t>2025-12-27</t>
  </si>
  <si>
    <t>ORD00244</t>
  </si>
  <si>
    <t>2025-06-17</t>
  </si>
  <si>
    <t>CHOC0134</t>
  </si>
  <si>
    <t>ORD00245</t>
  </si>
  <si>
    <t>CHOC0034</t>
  </si>
  <si>
    <t>ORD00246</t>
  </si>
  <si>
    <t>ORD00247</t>
  </si>
  <si>
    <t>ORD00248</t>
  </si>
  <si>
    <t>2025-07-13</t>
  </si>
  <si>
    <t>ORD00249</t>
  </si>
  <si>
    <t>2025-10-03</t>
  </si>
  <si>
    <t>CHOC0101</t>
  </si>
  <si>
    <t>ORD00250</t>
  </si>
  <si>
    <t>2025-12-11</t>
  </si>
  <si>
    <t>ORD00251</t>
  </si>
  <si>
    <t>ORD00252</t>
  </si>
  <si>
    <t>2025-04-16</t>
  </si>
  <si>
    <t>ORD00253</t>
  </si>
  <si>
    <t>CHOC0060</t>
  </si>
  <si>
    <t>ORD00254</t>
  </si>
  <si>
    <t>2025-10-22</t>
  </si>
  <si>
    <t>CHOC0082</t>
  </si>
  <si>
    <t>ORD00255</t>
  </si>
  <si>
    <t>2025-12-05</t>
  </si>
  <si>
    <t>ORD00256</t>
  </si>
  <si>
    <t>2025-06-26</t>
  </si>
  <si>
    <t>CHOC0165</t>
  </si>
  <si>
    <t>ORD00257</t>
  </si>
  <si>
    <t>2025-04-05</t>
  </si>
  <si>
    <t>ORD00258</t>
  </si>
  <si>
    <t>2025-10-15</t>
  </si>
  <si>
    <t>CHOC0106</t>
  </si>
  <si>
    <t>ORD00259</t>
  </si>
  <si>
    <t>2025-11-28</t>
  </si>
  <si>
    <t>ORD00260</t>
  </si>
  <si>
    <t>ORD00261</t>
  </si>
  <si>
    <t>CHOC0004</t>
  </si>
  <si>
    <t>ORD00262</t>
  </si>
  <si>
    <t>ORD00263</t>
  </si>
  <si>
    <t>2025-09-20</t>
  </si>
  <si>
    <t>ORD00264</t>
  </si>
  <si>
    <t>2025-06-10</t>
  </si>
  <si>
    <t>ORD00265</t>
  </si>
  <si>
    <t>2025-10-27</t>
  </si>
  <si>
    <t>ORD00266</t>
  </si>
  <si>
    <t>2025-10-09</t>
  </si>
  <si>
    <t>CHOC0168</t>
  </si>
  <si>
    <t>ORD00267</t>
  </si>
  <si>
    <t>2025-06-30</t>
  </si>
  <si>
    <t>CHOC0044</t>
  </si>
  <si>
    <t>ORD00268</t>
  </si>
  <si>
    <t>2025-12-09</t>
  </si>
  <si>
    <t>ORD00269</t>
  </si>
  <si>
    <t>ORD00270</t>
  </si>
  <si>
    <t>ORD00271</t>
  </si>
  <si>
    <t>2025-09-15</t>
  </si>
  <si>
    <t>ORD00272</t>
  </si>
  <si>
    <t>ORD00273</t>
  </si>
  <si>
    <t>2025-05-05</t>
  </si>
  <si>
    <t>ORD00274</t>
  </si>
  <si>
    <t>ORD00275</t>
  </si>
  <si>
    <t>ORD00276</t>
  </si>
  <si>
    <t>2025-10-18</t>
  </si>
  <si>
    <t>ORD00277</t>
  </si>
  <si>
    <t>2025-06-11</t>
  </si>
  <si>
    <t>CHOC0005</t>
  </si>
  <si>
    <t>ORD00278</t>
  </si>
  <si>
    <t>ORD00279</t>
  </si>
  <si>
    <t>ORD00280</t>
  </si>
  <si>
    <t>2025-01-16</t>
  </si>
  <si>
    <t>ORD00281</t>
  </si>
  <si>
    <t>ORD00282</t>
  </si>
  <si>
    <t>ORD00283</t>
  </si>
  <si>
    <t>ORD00284</t>
  </si>
  <si>
    <t>ORD00285</t>
  </si>
  <si>
    <t>ORD00286</t>
  </si>
  <si>
    <t>ORD00287</t>
  </si>
  <si>
    <t>2025-05-22</t>
  </si>
  <si>
    <t>ORD00288</t>
  </si>
  <si>
    <t>ORD00289</t>
  </si>
  <si>
    <t>2025-08-14</t>
  </si>
  <si>
    <t>CHOC0086</t>
  </si>
  <si>
    <t>ORD00290</t>
  </si>
  <si>
    <t>ORD00291</t>
  </si>
  <si>
    <t>ORD00292</t>
  </si>
  <si>
    <t>CHOC0007</t>
  </si>
  <si>
    <t>ORD00293</t>
  </si>
  <si>
    <t>2025-09-13</t>
  </si>
  <si>
    <t>ORD00294</t>
  </si>
  <si>
    <t>2025-11-03</t>
  </si>
  <si>
    <t>ORD00295</t>
  </si>
  <si>
    <t>2025-12-26</t>
  </si>
  <si>
    <t>ORD00296</t>
  </si>
  <si>
    <t>ORD00297</t>
  </si>
  <si>
    <t>CHOC0067</t>
  </si>
  <si>
    <t>ORD00298</t>
  </si>
  <si>
    <t>CHOC0198</t>
  </si>
  <si>
    <t>ORD00299</t>
  </si>
  <si>
    <t>ORD00300</t>
  </si>
  <si>
    <t>ORD00301</t>
  </si>
  <si>
    <t>ORD00302</t>
  </si>
  <si>
    <t>ORD00303</t>
  </si>
  <si>
    <t>CHOC0048</t>
  </si>
  <si>
    <t>ORD00304</t>
  </si>
  <si>
    <t>2025-01-03</t>
  </si>
  <si>
    <t>CHOC0181</t>
  </si>
  <si>
    <t>ORD00305</t>
  </si>
  <si>
    <t>CHOC0094</t>
  </si>
  <si>
    <t>ORD00306</t>
  </si>
  <si>
    <t>CHOC0157</t>
  </si>
  <si>
    <t>ORD00307</t>
  </si>
  <si>
    <t>2025-12-28</t>
  </si>
  <si>
    <t>ORD00308</t>
  </si>
  <si>
    <t>2025-03-01</t>
  </si>
  <si>
    <t>ORD00309</t>
  </si>
  <si>
    <t>CHOC0109</t>
  </si>
  <si>
    <t>ORD00310</t>
  </si>
  <si>
    <t>ORD00311</t>
  </si>
  <si>
    <t>2025-03-11</t>
  </si>
  <si>
    <t>ORD00312</t>
  </si>
  <si>
    <t>CHOC0126</t>
  </si>
  <si>
    <t>ORD00313</t>
  </si>
  <si>
    <t>ORD00314</t>
  </si>
  <si>
    <t>CHOC0069</t>
  </si>
  <si>
    <t>ORD00315</t>
  </si>
  <si>
    <t>2025-02-22</t>
  </si>
  <si>
    <t>CHOC0189</t>
  </si>
  <si>
    <t>ORD00316</t>
  </si>
  <si>
    <t>ORD00317</t>
  </si>
  <si>
    <t>ORD00318</t>
  </si>
  <si>
    <t>ORD00319</t>
  </si>
  <si>
    <t>2025-07-30</t>
  </si>
  <si>
    <t>ORD00320</t>
  </si>
  <si>
    <t>2025-06-14</t>
  </si>
  <si>
    <t>ORD00321</t>
  </si>
  <si>
    <t>2025-02-08</t>
  </si>
  <si>
    <t>ORD00322</t>
  </si>
  <si>
    <t>ORD00323</t>
  </si>
  <si>
    <t>2025-08-08</t>
  </si>
  <si>
    <t>ORD00324</t>
  </si>
  <si>
    <t>2025-09-06</t>
  </si>
  <si>
    <t>ORD00325</t>
  </si>
  <si>
    <t>ORD00326</t>
  </si>
  <si>
    <t>2025-02-17</t>
  </si>
  <si>
    <t>ORD00327</t>
  </si>
  <si>
    <t>CHOC0186</t>
  </si>
  <si>
    <t>ORD00328</t>
  </si>
  <si>
    <t>2025-02-09</t>
  </si>
  <si>
    <t>ORD00329</t>
  </si>
  <si>
    <t>CHOC0178</t>
  </si>
  <si>
    <t>ORD00330</t>
  </si>
  <si>
    <t>2025-07-08</t>
  </si>
  <si>
    <t>ORD00331</t>
  </si>
  <si>
    <t>CHOC0003</t>
  </si>
  <si>
    <t>ORD00332</t>
  </si>
  <si>
    <t>2025-12-18</t>
  </si>
  <si>
    <t>CHOC0114</t>
  </si>
  <si>
    <t>ORD00333</t>
  </si>
  <si>
    <t>ORD00334</t>
  </si>
  <si>
    <t>ORD00335</t>
  </si>
  <si>
    <t>2025-01-28</t>
  </si>
  <si>
    <t>ORD00336</t>
  </si>
  <si>
    <t>2025-06-12</t>
  </si>
  <si>
    <t>ORD00337</t>
  </si>
  <si>
    <t>2025-10-28</t>
  </si>
  <si>
    <t>ORD00338</t>
  </si>
  <si>
    <t>2025-12-31</t>
  </si>
  <si>
    <t>ORD00339</t>
  </si>
  <si>
    <t>CHOC0131</t>
  </si>
  <si>
    <t>ORD00340</t>
  </si>
  <si>
    <t>ORD00341</t>
  </si>
  <si>
    <t>ORD00342</t>
  </si>
  <si>
    <t>2025-09-25</t>
  </si>
  <si>
    <t>ORD00343</t>
  </si>
  <si>
    <t>ORD00344</t>
  </si>
  <si>
    <t>2025-07-04</t>
  </si>
  <si>
    <t>ORD00345</t>
  </si>
  <si>
    <t>2025-09-18</t>
  </si>
  <si>
    <t>ORD00346</t>
  </si>
  <si>
    <t>ORD00347</t>
  </si>
  <si>
    <t>2025-07-10</t>
  </si>
  <si>
    <t>ORD00348</t>
  </si>
  <si>
    <t>CHOC0120</t>
  </si>
  <si>
    <t>ORD00349</t>
  </si>
  <si>
    <t>2025-05-30</t>
  </si>
  <si>
    <t>ORD00350</t>
  </si>
  <si>
    <t>2025-10-07</t>
  </si>
  <si>
    <t>ORD00351</t>
  </si>
  <si>
    <t>2025-12-22</t>
  </si>
  <si>
    <t>ORD00352</t>
  </si>
  <si>
    <t>ORD00353</t>
  </si>
  <si>
    <t>2025-09-24</t>
  </si>
  <si>
    <t>ORD00354</t>
  </si>
  <si>
    <t>ORD00355</t>
  </si>
  <si>
    <t>ORD00356</t>
  </si>
  <si>
    <t>2025-02-25</t>
  </si>
  <si>
    <t>ORD00357</t>
  </si>
  <si>
    <t>2025-08-20</t>
  </si>
  <si>
    <t>ORD00358</t>
  </si>
  <si>
    <t>ORD00359</t>
  </si>
  <si>
    <t>2025-06-03</t>
  </si>
  <si>
    <t>ORD00360</t>
  </si>
  <si>
    <t>ORD00361</t>
  </si>
  <si>
    <t>ORD00362</t>
  </si>
  <si>
    <t>ORD00363</t>
  </si>
  <si>
    <t>ORD00364</t>
  </si>
  <si>
    <t>2025-08-07</t>
  </si>
  <si>
    <t>ORD00365</t>
  </si>
  <si>
    <t>ORD00366</t>
  </si>
  <si>
    <t>2025-02-14</t>
  </si>
  <si>
    <t>ORD00367</t>
  </si>
  <si>
    <t>2025-07-03</t>
  </si>
  <si>
    <t>ORD00368</t>
  </si>
  <si>
    <t>ORD00369</t>
  </si>
  <si>
    <t>ORD00370</t>
  </si>
  <si>
    <t>CHOC0196</t>
  </si>
  <si>
    <t>ORD00371</t>
  </si>
  <si>
    <t>CHOC0152</t>
  </si>
  <si>
    <t>ORD00372</t>
  </si>
  <si>
    <t>2025-04-07</t>
  </si>
  <si>
    <t>ORD00373</t>
  </si>
  <si>
    <t>ORD00374</t>
  </si>
  <si>
    <t>2025-04-01</t>
  </si>
  <si>
    <t>ORD00375</t>
  </si>
  <si>
    <t>2025-07-11</t>
  </si>
  <si>
    <t>ORD00376</t>
  </si>
  <si>
    <t>ORD00377</t>
  </si>
  <si>
    <t>ORD00378</t>
  </si>
  <si>
    <t>2025-11-05</t>
  </si>
  <si>
    <t>ORD00379</t>
  </si>
  <si>
    <t>ORD00380</t>
  </si>
  <si>
    <t>CHOC0054</t>
  </si>
  <si>
    <t>ORD00381</t>
  </si>
  <si>
    <t>ORD00382</t>
  </si>
  <si>
    <t>ORD00383</t>
  </si>
  <si>
    <t>2025-05-14</t>
  </si>
  <si>
    <t>ORD00384</t>
  </si>
  <si>
    <t>2025-11-01</t>
  </si>
  <si>
    <t>ORD00385</t>
  </si>
  <si>
    <t>ORD00386</t>
  </si>
  <si>
    <t>ORD00387</t>
  </si>
  <si>
    <t>ORD00388</t>
  </si>
  <si>
    <t>2025-03-29</t>
  </si>
  <si>
    <t>ORD00389</t>
  </si>
  <si>
    <t>ORD00390</t>
  </si>
  <si>
    <t>ORD00391</t>
  </si>
  <si>
    <t>2025-12-23</t>
  </si>
  <si>
    <t>CHOC0171</t>
  </si>
  <si>
    <t>ORD00392</t>
  </si>
  <si>
    <t>2025-02-01</t>
  </si>
  <si>
    <t>ORD00393</t>
  </si>
  <si>
    <t>ORD00394</t>
  </si>
  <si>
    <t>ORD00395</t>
  </si>
  <si>
    <t>2025-05-13</t>
  </si>
  <si>
    <t>ORD00396</t>
  </si>
  <si>
    <t>2025-12-25</t>
  </si>
  <si>
    <t>ORD00397</t>
  </si>
  <si>
    <t>2025-10-29</t>
  </si>
  <si>
    <t>CHOC0150</t>
  </si>
  <si>
    <t>ORD00398</t>
  </si>
  <si>
    <t>ORD00399</t>
  </si>
  <si>
    <t>ORD00400</t>
  </si>
  <si>
    <t>2025-09-01</t>
  </si>
  <si>
    <t>ORD00401</t>
  </si>
  <si>
    <t>ORD00402</t>
  </si>
  <si>
    <t>2025-08-02</t>
  </si>
  <si>
    <t>ORD00403</t>
  </si>
  <si>
    <t>ORD00404</t>
  </si>
  <si>
    <t>2025-04-09</t>
  </si>
  <si>
    <t>ORD00405</t>
  </si>
  <si>
    <t>ORD00406</t>
  </si>
  <si>
    <t>CHOC0115</t>
  </si>
  <si>
    <t>ORD00407</t>
  </si>
  <si>
    <t>2025-12-19</t>
  </si>
  <si>
    <t>ORD00408</t>
  </si>
  <si>
    <t>ORD00409</t>
  </si>
  <si>
    <t>2025-03-30</t>
  </si>
  <si>
    <t>CHOC0154</t>
  </si>
  <si>
    <t>ORD00410</t>
  </si>
  <si>
    <t>ORD00411</t>
  </si>
  <si>
    <t>ORD00412</t>
  </si>
  <si>
    <t>ORD00413</t>
  </si>
  <si>
    <t>2025-09-22</t>
  </si>
  <si>
    <t>ORD00414</t>
  </si>
  <si>
    <t>ORD00415</t>
  </si>
  <si>
    <t>2025-12-29</t>
  </si>
  <si>
    <t>ORD00416</t>
  </si>
  <si>
    <t>2025-12-03</t>
  </si>
  <si>
    <t>CHOC0143</t>
  </si>
  <si>
    <t>ORD00417</t>
  </si>
  <si>
    <t>2025-06-21</t>
  </si>
  <si>
    <t>ORD00418</t>
  </si>
  <si>
    <t>ORD00419</t>
  </si>
  <si>
    <t>2025-04-10</t>
  </si>
  <si>
    <t>ORD00420</t>
  </si>
  <si>
    <t>2025-04-13</t>
  </si>
  <si>
    <t>ORD00421</t>
  </si>
  <si>
    <t>2025-09-07</t>
  </si>
  <si>
    <t>ORD00422</t>
  </si>
  <si>
    <t>ORD00423</t>
  </si>
  <si>
    <t>CHOC0104</t>
  </si>
  <si>
    <t>ORD00424</t>
  </si>
  <si>
    <t>CHOC0049</t>
  </si>
  <si>
    <t>ORD00425</t>
  </si>
  <si>
    <t>ORD00426</t>
  </si>
  <si>
    <t>2025-08-22</t>
  </si>
  <si>
    <t>CHOC0187</t>
  </si>
  <si>
    <t>ORD00427</t>
  </si>
  <si>
    <t>ORD00428</t>
  </si>
  <si>
    <t>ORD00429</t>
  </si>
  <si>
    <t>2025-11-16</t>
  </si>
  <si>
    <t>ORD00430</t>
  </si>
  <si>
    <t>ORD00431</t>
  </si>
  <si>
    <t>2025-08-04</t>
  </si>
  <si>
    <t>ORD00432</t>
  </si>
  <si>
    <t>ORD00433</t>
  </si>
  <si>
    <t>ORD00434</t>
  </si>
  <si>
    <t>ORD00435</t>
  </si>
  <si>
    <t>CHOC0200</t>
  </si>
  <si>
    <t>ORD00436</t>
  </si>
  <si>
    <t>CHOC0119</t>
  </si>
  <si>
    <t>ORD00437</t>
  </si>
  <si>
    <t>ORD00438</t>
  </si>
  <si>
    <t>ORD00439</t>
  </si>
  <si>
    <t>2025-04-04</t>
  </si>
  <si>
    <t>ORD00440</t>
  </si>
  <si>
    <t>ORD00441</t>
  </si>
  <si>
    <t>ORD00442</t>
  </si>
  <si>
    <t>ORD00443</t>
  </si>
  <si>
    <t>ORD00444</t>
  </si>
  <si>
    <t>ORD00445</t>
  </si>
  <si>
    <t>ORD00446</t>
  </si>
  <si>
    <t>ORD00447</t>
  </si>
  <si>
    <t>2025-08-24</t>
  </si>
  <si>
    <t>ORD00448</t>
  </si>
  <si>
    <t>2025-12-01</t>
  </si>
  <si>
    <t>ORD00449</t>
  </si>
  <si>
    <t>CHOC0053</t>
  </si>
  <si>
    <t>ORD00450</t>
  </si>
  <si>
    <t>2025-11-14</t>
  </si>
  <si>
    <t>ORD00451</t>
  </si>
  <si>
    <t>2025-04-24</t>
  </si>
  <si>
    <t>ORD00452</t>
  </si>
  <si>
    <t>ORD00453</t>
  </si>
  <si>
    <t>2025-04-11</t>
  </si>
  <si>
    <t>ORD00454</t>
  </si>
  <si>
    <t>2025-01-24</t>
  </si>
  <si>
    <t>ORD00455</t>
  </si>
  <si>
    <t>ORD00456</t>
  </si>
  <si>
    <t>2025-10-24</t>
  </si>
  <si>
    <t>ORD00457</t>
  </si>
  <si>
    <t>2025-11-08</t>
  </si>
  <si>
    <t>ORD00458</t>
  </si>
  <si>
    <t>ORD00459</t>
  </si>
  <si>
    <t>2025-04-18</t>
  </si>
  <si>
    <t>ORD00460</t>
  </si>
  <si>
    <t>ORD00461</t>
  </si>
  <si>
    <t>2025-01-07</t>
  </si>
  <si>
    <t>ORD00462</t>
  </si>
  <si>
    <t>2025-05-27</t>
  </si>
  <si>
    <t>ORD00463</t>
  </si>
  <si>
    <t>ORD00464</t>
  </si>
  <si>
    <t>ORD00465</t>
  </si>
  <si>
    <t>ORD00466</t>
  </si>
  <si>
    <t>ORD00467</t>
  </si>
  <si>
    <t>ORD00468</t>
  </si>
  <si>
    <t>2025-10-12</t>
  </si>
  <si>
    <t>ORD00469</t>
  </si>
  <si>
    <t>ORD00470</t>
  </si>
  <si>
    <t>ORD00471</t>
  </si>
  <si>
    <t>ORD00472</t>
  </si>
  <si>
    <t>ORD00473</t>
  </si>
  <si>
    <t>ORD00474</t>
  </si>
  <si>
    <t>ORD00475</t>
  </si>
  <si>
    <t>CHOC0076</t>
  </si>
  <si>
    <t>ORD00476</t>
  </si>
  <si>
    <t>2025-02-03</t>
  </si>
  <si>
    <t>ORD00477</t>
  </si>
  <si>
    <t>2025-02-06</t>
  </si>
  <si>
    <t>ORD00478</t>
  </si>
  <si>
    <t>ORD00479</t>
  </si>
  <si>
    <t>2025-11-19</t>
  </si>
  <si>
    <t>ORD00480</t>
  </si>
  <si>
    <t>CHOC0017</t>
  </si>
  <si>
    <t>ORD00481</t>
  </si>
  <si>
    <t>CHOC0078</t>
  </si>
  <si>
    <t>ORD00482</t>
  </si>
  <si>
    <t>ORD00483</t>
  </si>
  <si>
    <t>ORD00484</t>
  </si>
  <si>
    <t>2025-10-21</t>
  </si>
  <si>
    <t>ORD00485</t>
  </si>
  <si>
    <t>CHOC0166</t>
  </si>
  <si>
    <t>ORD00486</t>
  </si>
  <si>
    <t>ORD00487</t>
  </si>
  <si>
    <t>ORD00488</t>
  </si>
  <si>
    <t>ORD00489</t>
  </si>
  <si>
    <t>ORD00490</t>
  </si>
  <si>
    <t>ORD00491</t>
  </si>
  <si>
    <t>ORD00492</t>
  </si>
  <si>
    <t>ORD00493</t>
  </si>
  <si>
    <t>ORD00494</t>
  </si>
  <si>
    <t>ORD00495</t>
  </si>
  <si>
    <t>ORD00496</t>
  </si>
  <si>
    <t>2025-10-17</t>
  </si>
  <si>
    <t>ORD00497</t>
  </si>
  <si>
    <t>2025-04-29</t>
  </si>
  <si>
    <t>ORD00498</t>
  </si>
  <si>
    <t>ORD00499</t>
  </si>
  <si>
    <t>2025-05-15</t>
  </si>
  <si>
    <t>ORD00500</t>
  </si>
  <si>
    <t>2025-05-09</t>
  </si>
  <si>
    <t>ORD00501</t>
  </si>
  <si>
    <t>2025-01-04</t>
  </si>
  <si>
    <t>ORD00502</t>
  </si>
  <si>
    <t>ORD00503</t>
  </si>
  <si>
    <t>ORD00504</t>
  </si>
  <si>
    <t>2025-03-07</t>
  </si>
  <si>
    <t>ORD00505</t>
  </si>
  <si>
    <t>ORD00506</t>
  </si>
  <si>
    <t>2025-08-18</t>
  </si>
  <si>
    <t>ORD00507</t>
  </si>
  <si>
    <t>ORD00508</t>
  </si>
  <si>
    <t>ORD00509</t>
  </si>
  <si>
    <t>ORD00510</t>
  </si>
  <si>
    <t>ORD00511</t>
  </si>
  <si>
    <t>ORD00512</t>
  </si>
  <si>
    <t>ORD00513</t>
  </si>
  <si>
    <t>ORD00514</t>
  </si>
  <si>
    <t>ORD00515</t>
  </si>
  <si>
    <t>ORD00516</t>
  </si>
  <si>
    <t>2025-07-23</t>
  </si>
  <si>
    <t>ORD00517</t>
  </si>
  <si>
    <t>ORD00518</t>
  </si>
  <si>
    <t>ORD00519</t>
  </si>
  <si>
    <t>2025-07-19</t>
  </si>
  <si>
    <t>ORD00520</t>
  </si>
  <si>
    <t>ORD00521</t>
  </si>
  <si>
    <t>ORD00522</t>
  </si>
  <si>
    <t>2025-01-18</t>
  </si>
  <si>
    <t>ORD00523</t>
  </si>
  <si>
    <t>ORD00524</t>
  </si>
  <si>
    <t>ORD00525</t>
  </si>
  <si>
    <t>ORD00526</t>
  </si>
  <si>
    <t>ORD00527</t>
  </si>
  <si>
    <t>ORD00528</t>
  </si>
  <si>
    <t>ORD00529</t>
  </si>
  <si>
    <t>ORD00530</t>
  </si>
  <si>
    <t>ORD00531</t>
  </si>
  <si>
    <t>ORD00532</t>
  </si>
  <si>
    <t>ORD00533</t>
  </si>
  <si>
    <t>ORD00534</t>
  </si>
  <si>
    <t>ORD00535</t>
  </si>
  <si>
    <t>ORD00536</t>
  </si>
  <si>
    <t>ORD00537</t>
  </si>
  <si>
    <t>2025-09-23</t>
  </si>
  <si>
    <t>ORD00538</t>
  </si>
  <si>
    <t>ORD00539</t>
  </si>
  <si>
    <t>ORD00540</t>
  </si>
  <si>
    <t>2025-08-19</t>
  </si>
  <si>
    <t>ORD00541</t>
  </si>
  <si>
    <t>ORD00542</t>
  </si>
  <si>
    <t>ORD00543</t>
  </si>
  <si>
    <t>ORD00544</t>
  </si>
  <si>
    <t>ORD00545</t>
  </si>
  <si>
    <t>2025-01-11</t>
  </si>
  <si>
    <t>ORD00546</t>
  </si>
  <si>
    <t>2025-07-01</t>
  </si>
  <si>
    <t>ORD00547</t>
  </si>
  <si>
    <t>2025-11-20</t>
  </si>
  <si>
    <t>ORD00548</t>
  </si>
  <si>
    <t>ORD00549</t>
  </si>
  <si>
    <t>ORD00550</t>
  </si>
  <si>
    <t>CHOC0033</t>
  </si>
  <si>
    <t>ORD00551</t>
  </si>
  <si>
    <t>ORD00552</t>
  </si>
  <si>
    <t>ORD00553</t>
  </si>
  <si>
    <t>ORD00554</t>
  </si>
  <si>
    <t>ORD00555</t>
  </si>
  <si>
    <t>2025-11-22</t>
  </si>
  <si>
    <t>ORD00556</t>
  </si>
  <si>
    <t>ORD00557</t>
  </si>
  <si>
    <t>ORD00558</t>
  </si>
  <si>
    <t>2025-01-05</t>
  </si>
  <si>
    <t>ORD00559</t>
  </si>
  <si>
    <t>ORD00560</t>
  </si>
  <si>
    <t>ORD00561</t>
  </si>
  <si>
    <t>ORD00562</t>
  </si>
  <si>
    <t>ORD00563</t>
  </si>
  <si>
    <t>ORD00564</t>
  </si>
  <si>
    <t>ORD00565</t>
  </si>
  <si>
    <t>ORD00566</t>
  </si>
  <si>
    <t>ORD00567</t>
  </si>
  <si>
    <t>ORD00568</t>
  </si>
  <si>
    <t>ORD00569</t>
  </si>
  <si>
    <t>2025-06-02</t>
  </si>
  <si>
    <t>ORD00570</t>
  </si>
  <si>
    <t>ORD00571</t>
  </si>
  <si>
    <t>ORD00572</t>
  </si>
  <si>
    <t>ORD00573</t>
  </si>
  <si>
    <t>ORD00574</t>
  </si>
  <si>
    <t>ORD00575</t>
  </si>
  <si>
    <t>ORD00576</t>
  </si>
  <si>
    <t>ORD00577</t>
  </si>
  <si>
    <t>2025-01-01</t>
  </si>
  <si>
    <t>ORD00578</t>
  </si>
  <si>
    <t>ORD00579</t>
  </si>
  <si>
    <t>ORD00580</t>
  </si>
  <si>
    <t>ORD00581</t>
  </si>
  <si>
    <t>2025-09-08</t>
  </si>
  <si>
    <t>ORD00582</t>
  </si>
  <si>
    <t>ORD00583</t>
  </si>
  <si>
    <t>ORD00584</t>
  </si>
  <si>
    <t>ORD00585</t>
  </si>
  <si>
    <t>ORD00586</t>
  </si>
  <si>
    <t>2025-08-23</t>
  </si>
  <si>
    <t>ORD00587</t>
  </si>
  <si>
    <t>ORD00588</t>
  </si>
  <si>
    <t>ORD00589</t>
  </si>
  <si>
    <t>ORD00590</t>
  </si>
  <si>
    <t>ORD00591</t>
  </si>
  <si>
    <t>ORD00592</t>
  </si>
  <si>
    <t>ORD00593</t>
  </si>
  <si>
    <t>ORD00594</t>
  </si>
  <si>
    <t>ORD00595</t>
  </si>
  <si>
    <t>ORD00596</t>
  </si>
  <si>
    <t>ORD00597</t>
  </si>
  <si>
    <t>ORD00598</t>
  </si>
  <si>
    <t>2025-02-12</t>
  </si>
  <si>
    <t>ORD00599</t>
  </si>
  <si>
    <t>ORD00600</t>
  </si>
  <si>
    <t>Grand Total</t>
  </si>
  <si>
    <t>Total Sales</t>
  </si>
  <si>
    <t>Regions</t>
  </si>
  <si>
    <t>Month</t>
  </si>
  <si>
    <t>Months</t>
  </si>
  <si>
    <t>May</t>
  </si>
  <si>
    <t>Jan</t>
  </si>
  <si>
    <t>Feb</t>
  </si>
  <si>
    <t>Mar</t>
  </si>
  <si>
    <t>Apr</t>
  </si>
  <si>
    <t>Jun</t>
  </si>
  <si>
    <t>Jul</t>
  </si>
  <si>
    <t>Aug</t>
  </si>
  <si>
    <t>Sep</t>
  </si>
  <si>
    <t>Oct</t>
  </si>
  <si>
    <t>Nov</t>
  </si>
  <si>
    <t>Dec</t>
  </si>
  <si>
    <t>Chocolate Sales Performance Dashboard 2025</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</si>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</sst>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4" x14ac:knownFonts="1">
    <font>
      <sz val="11"/>
      <color theme="1"/>
      <name val="Calibri"/>
      <family val="2"/>
      <scheme val="minor"/>
    </font>
    <font>
      <b/>
      <sz val="11"/>
      <color theme="1"/>
      <name val="Calibri"/>
      <family val="2"/>
      <scheme val="minor"/>
    </font>
    <font>
      <b/>
      <sz val="28"/>
      <color rgb="FF002060"/>
      <name val="Calibri"/>
      <family val="2"/>
      <scheme val="minor"/>
    </font>
    <font>
      <b/>
      <sz val="28"/>
      <color theme="2"/>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44" fontId="1" fillId="0" borderId="0" xfId="0" applyNumberFormat="1" applyFont="1"/>
    <xf numFmtId="44" fontId="0" fillId="0" borderId="0" xfId="0" applyNumberFormat="1"/>
    <xf numFmtId="0" fontId="0" fillId="0" borderId="0" xfId="0" pivotButton="1"/>
    <xf numFmtId="0" fontId="0" fillId="0" borderId="0" xfId="0" applyAlignment="1">
      <alignment horizontal="left"/>
    </xf>
    <xf numFmtId="0" fontId="0" fillId="2" borderId="0" xfId="0" applyFill="1"/>
    <xf numFmtId="0" fontId="3" fillId="2" borderId="0" xfId="0" applyFont="1" applyFill="1" applyAlignment="1">
      <alignment horizontal="left" vertical="center"/>
    </xf>
    <xf numFmtId="0" fontId="2" fillId="2" borderId="0" xfId="0" applyFont="1" applyFill="1" applyAlignment="1">
      <alignment horizontal="left" vertical="center"/>
    </xf>
  </cellXfs>
  <cellStyles count="1">
    <cellStyle name="Normal" xfId="0" builtinId="0"/>
  </cellStyles>
  <dxfs count="19">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[Chocolate_Sales.xlsx]Sales by region!PivotTable1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b="1"/>
              <a:t>Total Sales by Region</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region'!$A$4:$A$10</c:f>
              <c:strCache>
                <c:ptCount val="6"/>
                <c:pt idx="0">
                  <c:v>Central</c:v>
                </c:pt>
                <c:pt idx="1">
                  <c:v>East</c:v>
                </c:pt>
                <c:pt idx="2">
                  <c:v>North</c:v>
                </c:pt>
                <c:pt idx="3">
                  <c:v>South</c:v>
                </c:pt>
                <c:pt idx="4">
                  <c:v>West</c:v>
                </c:pt>
                <c:pt idx="5">
                  <c:v>(blank)</c:v>
                </c:pt>
              </c:strCache>
            </c:strRef>
          </c:cat>
          <c:val>
            <c:numRef>
              <c:f>'Sales by region'!$B$4:$B$10</c:f>
              <c:numCache>
                <c:formatCode>_("₹"* #,##0.00_);_("₹"* \(#,##0.00\);_("₹"* "-"??_);_(@_)</c:formatCode>
                <c:ptCount val="6"/>
                <c:pt idx="0">
                  <c:v>1185004.8999999994</c:v>
                </c:pt>
                <c:pt idx="1">
                  <c:v>960007.21999999986</c:v>
                </c:pt>
                <c:pt idx="2">
                  <c:v>1033001.74</c:v>
                </c:pt>
                <c:pt idx="3">
                  <c:v>753415.43</c:v>
                </c:pt>
                <c:pt idx="4">
                  <c:v>787032.70999999985</c:v>
                </c:pt>
              </c:numCache>
            </c:numRef>
          </c:val>
          <c:extLst>
            <c:ext xmlns:c16="http://schemas.microsoft.com/office/drawing/2014/chart" uri="{C3380CC4-5D6E-409C-BE32-E72D297353CC}">
              <c16:uniqueId val="{00000000-A22A-4066-8E93-A0C2CD83ABE4}"/>
            </c:ext>
          </c:extLst>
        </c:ser>
        <c:dLbls>
          <c:showLegendKey val="0"/>
          <c:showVal val="0"/>
          <c:showCatName val="0"/>
          <c:showSerName val="0"/>
          <c:showPercent val="0"/>
          <c:showBubbleSize val="0"/>
        </c:dLbls>
        <c:gapWidth val="100"/>
        <c:overlap val="-24"/>
        <c:axId val="265499936"/>
        <c:axId val="265500896"/>
      </c:barChart>
      <c:catAx>
        <c:axId val="265499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00896"/>
        <c:crosses val="autoZero"/>
        <c:auto val="1"/>
        <c:lblAlgn val="ctr"/>
        <c:lblOffset val="100"/>
        <c:noMultiLvlLbl val="0"/>
      </c:catAx>
      <c:valAx>
        <c:axId val="2655008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9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[Chocolate_Sales.xlsx]Sales by Region &amp; Channel!PivotTable2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 and Channel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Region &amp; Channel'!$B$3:$B$4</c:f>
              <c:strCache>
                <c:ptCount val="1"/>
                <c:pt idx="0">
                  <c:v>Distributor</c:v>
                </c:pt>
              </c:strCache>
            </c:strRef>
          </c:tx>
          <c:spPr>
            <a:solidFill>
              <a:schemeClr val="accent1"/>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Channel'!$B$5:$B$10</c:f>
              <c:numCache>
                <c:formatCode>_("₹"* #,##0.00_);_("₹"* \(#,##0.00\);_("₹"* "-"??_);_(@_)</c:formatCode>
                <c:ptCount val="5"/>
                <c:pt idx="0">
                  <c:v>251323.61000000004</c:v>
                </c:pt>
                <c:pt idx="1">
                  <c:v>194115.18</c:v>
                </c:pt>
                <c:pt idx="2">
                  <c:v>256663.72999999998</c:v>
                </c:pt>
                <c:pt idx="3">
                  <c:v>168468.81999999998</c:v>
                </c:pt>
                <c:pt idx="4">
                  <c:v>233782.97000000003</c:v>
                </c:pt>
              </c:numCache>
            </c:numRef>
          </c:val>
          <c:extLst>
            <c:ext xmlns:c16="http://schemas.microsoft.com/office/drawing/2014/chart" uri="{C3380CC4-5D6E-409C-BE32-E72D297353CC}">
              <c16:uniqueId val="{00000000-A8CB-48D3-AEFD-2F7C408A5FB0}"/>
            </c:ext>
          </c:extLst>
        </c:ser>
        <c:ser>
          <c:idx val="1"/>
          <c:order val="1"/>
          <c:tx>
            <c:strRef>
              <c:f>'Sales by Region &amp; Channel'!$C$3:$C$4</c:f>
              <c:strCache>
                <c:ptCount val="1"/>
                <c:pt idx="0">
                  <c:v>Online</c:v>
                </c:pt>
              </c:strCache>
            </c:strRef>
          </c:tx>
          <c:spPr>
            <a:solidFill>
              <a:schemeClr val="accent2"/>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Channel'!$C$5:$C$10</c:f>
              <c:numCache>
                <c:formatCode>_("₹"* #,##0.00_);_("₹"* \(#,##0.00\);_("₹"* "-"??_);_(@_)</c:formatCode>
                <c:ptCount val="5"/>
                <c:pt idx="0">
                  <c:v>415132.60999999993</c:v>
                </c:pt>
                <c:pt idx="1">
                  <c:v>173334.95</c:v>
                </c:pt>
                <c:pt idx="2">
                  <c:v>204684.29</c:v>
                </c:pt>
                <c:pt idx="3">
                  <c:v>184048.64000000001</c:v>
                </c:pt>
                <c:pt idx="4">
                  <c:v>186482.24000000002</c:v>
                </c:pt>
              </c:numCache>
            </c:numRef>
          </c:val>
          <c:extLst>
            <c:ext xmlns:c16="http://schemas.microsoft.com/office/drawing/2014/chart" uri="{C3380CC4-5D6E-409C-BE32-E72D297353CC}">
              <c16:uniqueId val="{00000000-DA28-4EC2-8B8B-699F97782FA1}"/>
            </c:ext>
          </c:extLst>
        </c:ser>
        <c:ser>
          <c:idx val="2"/>
          <c:order val="2"/>
          <c:tx>
            <c:strRef>
              <c:f>'Sales by Region &amp; Channel'!$D$3:$D$4</c:f>
              <c:strCache>
                <c:ptCount val="1"/>
                <c:pt idx="0">
                  <c:v>Retail</c:v>
                </c:pt>
              </c:strCache>
            </c:strRef>
          </c:tx>
          <c:spPr>
            <a:solidFill>
              <a:schemeClr val="accent3"/>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Channel'!$D$5:$D$10</c:f>
              <c:numCache>
                <c:formatCode>_("₹"* #,##0.00_);_("₹"* \(#,##0.00\);_("₹"* "-"??_);_(@_)</c:formatCode>
                <c:ptCount val="5"/>
                <c:pt idx="0">
                  <c:v>250205.73</c:v>
                </c:pt>
                <c:pt idx="1">
                  <c:v>268580.04000000004</c:v>
                </c:pt>
                <c:pt idx="2">
                  <c:v>275625.30999999994</c:v>
                </c:pt>
                <c:pt idx="3">
                  <c:v>253785.87</c:v>
                </c:pt>
                <c:pt idx="4">
                  <c:v>147173.93</c:v>
                </c:pt>
              </c:numCache>
            </c:numRef>
          </c:val>
          <c:extLst>
            <c:ext xmlns:c16="http://schemas.microsoft.com/office/drawing/2014/chart" uri="{C3380CC4-5D6E-409C-BE32-E72D297353CC}">
              <c16:uniqueId val="{00000001-DA28-4EC2-8B8B-699F97782FA1}"/>
            </c:ext>
          </c:extLst>
        </c:ser>
        <c:ser>
          <c:idx val="3"/>
          <c:order val="3"/>
          <c:tx>
            <c:strRef>
              <c:f>'Sales by Region &amp; Channel'!$E$3:$E$4</c:f>
              <c:strCache>
                <c:ptCount val="1"/>
                <c:pt idx="0">
                  <c:v>Supermarket</c:v>
                </c:pt>
              </c:strCache>
            </c:strRef>
          </c:tx>
          <c:spPr>
            <a:solidFill>
              <a:schemeClr val="accent4"/>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Channel'!$E$5:$E$10</c:f>
              <c:numCache>
                <c:formatCode>_("₹"* #,##0.00_);_("₹"* \(#,##0.00\);_("₹"* "-"??_);_(@_)</c:formatCode>
                <c:ptCount val="5"/>
                <c:pt idx="0">
                  <c:v>268342.94999999995</c:v>
                </c:pt>
                <c:pt idx="1">
                  <c:v>323977.04999999993</c:v>
                </c:pt>
                <c:pt idx="2">
                  <c:v>296028.40999999992</c:v>
                </c:pt>
                <c:pt idx="3">
                  <c:v>147112.1</c:v>
                </c:pt>
                <c:pt idx="4">
                  <c:v>219593.57</c:v>
                </c:pt>
              </c:numCache>
            </c:numRef>
          </c:val>
          <c:extLst>
            <c:ext xmlns:c16="http://schemas.microsoft.com/office/drawing/2014/chart" uri="{C3380CC4-5D6E-409C-BE32-E72D297353CC}">
              <c16:uniqueId val="{00000002-DA28-4EC2-8B8B-699F97782FA1}"/>
            </c:ext>
          </c:extLst>
        </c:ser>
        <c:dLbls>
          <c:showLegendKey val="0"/>
          <c:showVal val="0"/>
          <c:showCatName val="0"/>
          <c:showSerName val="0"/>
          <c:showPercent val="0"/>
          <c:showBubbleSize val="0"/>
        </c:dLbls>
        <c:gapWidth val="150"/>
        <c:overlap val="100"/>
        <c:axId val="265516256"/>
        <c:axId val="265514816"/>
      </c:barChart>
      <c:catAx>
        <c:axId val="2655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14816"/>
        <c:crosses val="autoZero"/>
        <c:auto val="1"/>
        <c:lblAlgn val="ctr"/>
        <c:lblOffset val="100"/>
        <c:noMultiLvlLbl val="0"/>
      </c:catAx>
      <c:valAx>
        <c:axId val="2655148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1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[Chocolate_Sales.xlsx]Sales by Category!PivotTable3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746-4259-AEFC-DB74DA38FF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746-4259-AEFC-DB74DA38FFF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746-4259-AEFC-DB74DA38FFF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746-4259-AEFC-DB74DA38FFF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746-4259-AEFC-DB74DA38FFF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746-4259-AEFC-DB74DA38FFF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753-40E1-988C-F5A5A553E6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Category'!$A$4:$A$11</c:f>
              <c:strCache>
                <c:ptCount val="7"/>
                <c:pt idx="0">
                  <c:v>Dark</c:v>
                </c:pt>
                <c:pt idx="1">
                  <c:v>Filled</c:v>
                </c:pt>
                <c:pt idx="2">
                  <c:v>Milk</c:v>
                </c:pt>
                <c:pt idx="3">
                  <c:v>Truffle</c:v>
                </c:pt>
                <c:pt idx="4">
                  <c:v>Wafer</c:v>
                </c:pt>
                <c:pt idx="5">
                  <c:v>White</c:v>
                </c:pt>
                <c:pt idx="6">
                  <c:v>(blank)</c:v>
                </c:pt>
              </c:strCache>
            </c:strRef>
          </c:cat>
          <c:val>
            <c:numRef>
              <c:f>'Sales by Category'!$B$4:$B$11</c:f>
              <c:numCache>
                <c:formatCode>_("₹"* #,##0.00_);_("₹"* \(#,##0.00\);_("₹"* "-"??_);_(@_)</c:formatCode>
                <c:ptCount val="7"/>
                <c:pt idx="0">
                  <c:v>944484.20000000007</c:v>
                </c:pt>
                <c:pt idx="1">
                  <c:v>626987.35999999964</c:v>
                </c:pt>
                <c:pt idx="2">
                  <c:v>797747.2699999999</c:v>
                </c:pt>
                <c:pt idx="3">
                  <c:v>745554.45000000019</c:v>
                </c:pt>
                <c:pt idx="4">
                  <c:v>861953.84999999963</c:v>
                </c:pt>
                <c:pt idx="5">
                  <c:v>741734.87</c:v>
                </c:pt>
              </c:numCache>
            </c:numRef>
          </c:val>
          <c:extLst>
            <c:ext xmlns:c16="http://schemas.microsoft.com/office/drawing/2014/chart" uri="{C3380CC4-5D6E-409C-BE32-E72D297353CC}">
              <c16:uniqueId val="{00000000-F83D-45E0-8BAC-28D85ABFBE2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[Chocolate_Sales.xlsx]Monthly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_("₹"* #,##0.00_);_("₹"* \(#,##0.00\);_("₹"* "-"??_);_(@_)</c:formatCode>
                <c:ptCount val="12"/>
                <c:pt idx="0">
                  <c:v>478856.87000000005</c:v>
                </c:pt>
                <c:pt idx="1">
                  <c:v>340651.9499999999</c:v>
                </c:pt>
                <c:pt idx="2">
                  <c:v>422122.86000000004</c:v>
                </c:pt>
                <c:pt idx="3">
                  <c:v>302618.23</c:v>
                </c:pt>
                <c:pt idx="4">
                  <c:v>521573.68000000005</c:v>
                </c:pt>
                <c:pt idx="5">
                  <c:v>296790.64999999997</c:v>
                </c:pt>
                <c:pt idx="6">
                  <c:v>367004.45</c:v>
                </c:pt>
                <c:pt idx="7">
                  <c:v>477556.9</c:v>
                </c:pt>
                <c:pt idx="8">
                  <c:v>324550.02000000008</c:v>
                </c:pt>
                <c:pt idx="9">
                  <c:v>465635.37000000005</c:v>
                </c:pt>
                <c:pt idx="10">
                  <c:v>383372.49</c:v>
                </c:pt>
                <c:pt idx="11">
                  <c:v>337728.52999999991</c:v>
                </c:pt>
              </c:numCache>
            </c:numRef>
          </c:val>
          <c:smooth val="0"/>
          <c:extLst>
            <c:ext xmlns:c16="http://schemas.microsoft.com/office/drawing/2014/chart" uri="{C3380CC4-5D6E-409C-BE32-E72D297353CC}">
              <c16:uniqueId val="{00000000-C4A6-4F83-A970-3CA140DAD507}"/>
            </c:ext>
          </c:extLst>
        </c:ser>
        <c:dLbls>
          <c:showLegendKey val="0"/>
          <c:showVal val="0"/>
          <c:showCatName val="0"/>
          <c:showSerName val="0"/>
          <c:showPercent val="0"/>
          <c:showBubbleSize val="0"/>
        </c:dLbls>
        <c:marker val="1"/>
        <c:smooth val="0"/>
        <c:axId val="450134560"/>
        <c:axId val="450135040"/>
      </c:lineChart>
      <c:catAx>
        <c:axId val="4501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35040"/>
        <c:crosses val="autoZero"/>
        <c:auto val="1"/>
        <c:lblAlgn val="ctr"/>
        <c:lblOffset val="100"/>
        <c:noMultiLvlLbl val="0"/>
      </c:catAx>
      <c:valAx>
        <c:axId val="450135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3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[Chocolate_Sales.xlsx]Sales by Category &amp; Region!PivotTable6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b="1"/>
              <a:t>Sales by Category and Region</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 &amp; Region'!$B$3:$B$4</c:f>
              <c:strCache>
                <c:ptCount val="1"/>
                <c:pt idx="0">
                  <c:v>Central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Region'!$B$5:$B$11</c:f>
              <c:numCache>
                <c:formatCode>_("₹"* #,##0.00_);_("₹"* \(#,##0.00\);_("₹"* "-"??_);_(@_)</c:formatCode>
                <c:ptCount val="6"/>
                <c:pt idx="0">
                  <c:v>291436.33000000007</c:v>
                </c:pt>
                <c:pt idx="1">
                  <c:v>137120.86000000002</c:v>
                </c:pt>
                <c:pt idx="2">
                  <c:v>174542.49</c:v>
                </c:pt>
                <c:pt idx="3">
                  <c:v>199032.38</c:v>
                </c:pt>
                <c:pt idx="4">
                  <c:v>177040.03</c:v>
                </c:pt>
                <c:pt idx="5">
                  <c:v>205832.80999999997</c:v>
                </c:pt>
              </c:numCache>
            </c:numRef>
          </c:val>
          <c:extLst>
            <c:ext xmlns:c16="http://schemas.microsoft.com/office/drawing/2014/chart" uri="{C3380CC4-5D6E-409C-BE32-E72D297353CC}">
              <c16:uniqueId val="{00000000-720F-46F9-9242-68F5E47B4ACE}"/>
            </c:ext>
          </c:extLst>
        </c:ser>
        <c:ser>
          <c:idx val="1"/>
          <c:order val="1"/>
          <c:tx>
            <c:strRef>
              <c:f>'Sales by Category &amp; Region'!$C$3:$C$4</c:f>
              <c:strCache>
                <c:ptCount val="1"/>
                <c:pt idx="0">
                  <c:v>East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Region'!$C$5:$C$11</c:f>
              <c:numCache>
                <c:formatCode>_("₹"* #,##0.00_);_("₹"* \(#,##0.00\);_("₹"* "-"??_);_(@_)</c:formatCode>
                <c:ptCount val="6"/>
                <c:pt idx="0">
                  <c:v>207474.41</c:v>
                </c:pt>
                <c:pt idx="1">
                  <c:v>186939.02000000002</c:v>
                </c:pt>
                <c:pt idx="2">
                  <c:v>139629.63000000003</c:v>
                </c:pt>
                <c:pt idx="3">
                  <c:v>109380.30000000002</c:v>
                </c:pt>
                <c:pt idx="4">
                  <c:v>188041.11999999997</c:v>
                </c:pt>
                <c:pt idx="5">
                  <c:v>128542.74</c:v>
                </c:pt>
              </c:numCache>
            </c:numRef>
          </c:val>
          <c:extLst>
            <c:ext xmlns:c16="http://schemas.microsoft.com/office/drawing/2014/chart" uri="{C3380CC4-5D6E-409C-BE32-E72D297353CC}">
              <c16:uniqueId val="{00000008-F10D-4216-BB8B-C77659D7B809}"/>
            </c:ext>
          </c:extLst>
        </c:ser>
        <c:ser>
          <c:idx val="2"/>
          <c:order val="2"/>
          <c:tx>
            <c:strRef>
              <c:f>'Sales by Category &amp; Region'!$D$3:$D$4</c:f>
              <c:strCache>
                <c:ptCount val="1"/>
                <c:pt idx="0">
                  <c:v>North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Region'!$D$5:$D$11</c:f>
              <c:numCache>
                <c:formatCode>_("₹"* #,##0.00_);_("₹"* \(#,##0.00\);_("₹"* "-"??_);_(@_)</c:formatCode>
                <c:ptCount val="6"/>
                <c:pt idx="0">
                  <c:v>193607.34999999998</c:v>
                </c:pt>
                <c:pt idx="1">
                  <c:v>123001.33000000002</c:v>
                </c:pt>
                <c:pt idx="2">
                  <c:v>165068.22999999998</c:v>
                </c:pt>
                <c:pt idx="3">
                  <c:v>167816.56</c:v>
                </c:pt>
                <c:pt idx="4">
                  <c:v>215940.95999999996</c:v>
                </c:pt>
                <c:pt idx="5">
                  <c:v>167567.31</c:v>
                </c:pt>
              </c:numCache>
            </c:numRef>
          </c:val>
          <c:extLst>
            <c:ext xmlns:c16="http://schemas.microsoft.com/office/drawing/2014/chart" uri="{C3380CC4-5D6E-409C-BE32-E72D297353CC}">
              <c16:uniqueId val="{00000009-F10D-4216-BB8B-C77659D7B809}"/>
            </c:ext>
          </c:extLst>
        </c:ser>
        <c:ser>
          <c:idx val="3"/>
          <c:order val="3"/>
          <c:tx>
            <c:strRef>
              <c:f>'Sales by Category &amp; Region'!$E$3:$E$4</c:f>
              <c:strCache>
                <c:ptCount val="1"/>
                <c:pt idx="0">
                  <c:v>South</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Region'!$E$5:$E$11</c:f>
              <c:numCache>
                <c:formatCode>_("₹"* #,##0.00_);_("₹"* \(#,##0.00\);_("₹"* "-"??_);_(@_)</c:formatCode>
                <c:ptCount val="6"/>
                <c:pt idx="0">
                  <c:v>122371.85</c:v>
                </c:pt>
                <c:pt idx="1">
                  <c:v>70183.41</c:v>
                </c:pt>
                <c:pt idx="2">
                  <c:v>172592.55999999997</c:v>
                </c:pt>
                <c:pt idx="3">
                  <c:v>154577.33999999997</c:v>
                </c:pt>
                <c:pt idx="4">
                  <c:v>118582.86000000002</c:v>
                </c:pt>
                <c:pt idx="5">
                  <c:v>115107.41</c:v>
                </c:pt>
              </c:numCache>
            </c:numRef>
          </c:val>
          <c:extLst>
            <c:ext xmlns:c16="http://schemas.microsoft.com/office/drawing/2014/chart" uri="{C3380CC4-5D6E-409C-BE32-E72D297353CC}">
              <c16:uniqueId val="{0000000A-F10D-4216-BB8B-C77659D7B809}"/>
            </c:ext>
          </c:extLst>
        </c:ser>
        <c:ser>
          <c:idx val="4"/>
          <c:order val="4"/>
          <c:tx>
            <c:strRef>
              <c:f>'Sales by Category &amp; Region'!$F$3:$F$4</c:f>
              <c:strCache>
                <c:ptCount val="1"/>
                <c:pt idx="0">
                  <c:v>West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Region'!$F$5:$F$11</c:f>
              <c:numCache>
                <c:formatCode>_("₹"* #,##0.00_);_("₹"* \(#,##0.00\);_("₹"* "-"??_);_(@_)</c:formatCode>
                <c:ptCount val="6"/>
                <c:pt idx="0">
                  <c:v>129594.26000000002</c:v>
                </c:pt>
                <c:pt idx="1">
                  <c:v>109742.74</c:v>
                </c:pt>
                <c:pt idx="2">
                  <c:v>145914.36000000002</c:v>
                </c:pt>
                <c:pt idx="3">
                  <c:v>114747.87000000001</c:v>
                </c:pt>
                <c:pt idx="4">
                  <c:v>162348.88000000003</c:v>
                </c:pt>
                <c:pt idx="5">
                  <c:v>124684.60000000002</c:v>
                </c:pt>
              </c:numCache>
            </c:numRef>
          </c:val>
          <c:extLst>
            <c:ext xmlns:c16="http://schemas.microsoft.com/office/drawing/2014/chart" uri="{C3380CC4-5D6E-409C-BE32-E72D297353CC}">
              <c16:uniqueId val="{0000000B-F10D-4216-BB8B-C77659D7B809}"/>
            </c:ext>
          </c:extLst>
        </c:ser>
        <c:dLbls>
          <c:showLegendKey val="0"/>
          <c:showVal val="0"/>
          <c:showCatName val="0"/>
          <c:showSerName val="0"/>
          <c:showPercent val="0"/>
          <c:showBubbleSize val="0"/>
        </c:dLbls>
        <c:gapWidth val="115"/>
        <c:overlap val="-20"/>
        <c:axId val="450157120"/>
        <c:axId val="450143680"/>
      </c:barChart>
      <c:catAx>
        <c:axId val="4501571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43680"/>
        <c:crosses val="autoZero"/>
        <c:auto val="1"/>
        <c:lblAlgn val="ctr"/>
        <c:lblOffset val="100"/>
        <c:noMultiLvlLbl val="0"/>
      </c:catAx>
      <c:valAx>
        <c:axId val="45014368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5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[Chocolate_Sales.xlsx]Sales by Category &amp; Region!PivotTable6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800" b="1"/>
              <a:t>Sales by Category and Region</a:t>
            </a:r>
            <a:endParaRPr lang="en-IN" sz="1800"/>
          </a:p>
        </c:rich>
      </c:tx>
      <c:layout>
        <c:manualLayout>
          <c:xMode val="edge"/>
          <c:yMode val="edge"/>
          <c:x val="0.35706660201199197"/>
          <c:y val="6.811580543726919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triang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x"/>
          <c:size val="5"/>
          <c:spPr>
            <a:noFill/>
            <a:ln w="9525">
              <a:solidFill>
                <a:schemeClr val="accent4"/>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tar"/>
          <c:size val="5"/>
          <c:spPr>
            <a:noFill/>
            <a:ln w="9525">
              <a:solidFill>
                <a:schemeClr val="accent5"/>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5152683719117"/>
          <c:y val="0.22399190035957148"/>
          <c:w val="0.75160725536569695"/>
          <c:h val="0.69186494506467433"/>
        </c:manualLayout>
      </c:layout>
      <c:barChart>
        <c:barDir val="bar"/>
        <c:grouping val="clustered"/>
        <c:varyColors val="0"/>
        <c:ser>
          <c:idx val="0"/>
          <c:order val="0"/>
          <c:tx>
            <c:strRef>
              <c:f>'Sales by Category &amp; Region'!$B$3:$B$4</c:f>
              <c:strCache>
                <c:ptCount val="1"/>
                <c:pt idx="0">
                  <c:v>Central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Region'!$B$5:$B$11</c:f>
              <c:numCache>
                <c:formatCode>_("₹"* #,##0.00_);_("₹"* \(#,##0.00\);_("₹"* "-"??_);_(@_)</c:formatCode>
                <c:ptCount val="6"/>
                <c:pt idx="0">
                  <c:v>291436.33000000007</c:v>
                </c:pt>
                <c:pt idx="1">
                  <c:v>137120.86000000002</c:v>
                </c:pt>
                <c:pt idx="2">
                  <c:v>174542.49</c:v>
                </c:pt>
                <c:pt idx="3">
                  <c:v>199032.38</c:v>
                </c:pt>
                <c:pt idx="4">
                  <c:v>177040.03</c:v>
                </c:pt>
                <c:pt idx="5">
                  <c:v>205832.80999999997</c:v>
                </c:pt>
              </c:numCache>
            </c:numRef>
          </c:val>
          <c:extLst>
            <c:ext xmlns:c16="http://schemas.microsoft.com/office/drawing/2014/chart" uri="{C3380CC4-5D6E-409C-BE32-E72D297353CC}">
              <c16:uniqueId val="{00000000-CF25-443D-907E-26ED90BB2294}"/>
            </c:ext>
          </c:extLst>
        </c:ser>
        <c:ser>
          <c:idx val="1"/>
          <c:order val="1"/>
          <c:tx>
            <c:strRef>
              <c:f>'Sales by Category &amp; Region'!$C$3:$C$4</c:f>
              <c:strCache>
                <c:ptCount val="1"/>
                <c:pt idx="0">
                  <c:v>East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Region'!$C$5:$C$11</c:f>
              <c:numCache>
                <c:formatCode>_("₹"* #,##0.00_);_("₹"* \(#,##0.00\);_("₹"* "-"??_);_(@_)</c:formatCode>
                <c:ptCount val="6"/>
                <c:pt idx="0">
                  <c:v>207474.41</c:v>
                </c:pt>
                <c:pt idx="1">
                  <c:v>186939.02000000002</c:v>
                </c:pt>
                <c:pt idx="2">
                  <c:v>139629.63000000003</c:v>
                </c:pt>
                <c:pt idx="3">
                  <c:v>109380.30000000002</c:v>
                </c:pt>
                <c:pt idx="4">
                  <c:v>188041.11999999997</c:v>
                </c:pt>
                <c:pt idx="5">
                  <c:v>128542.74</c:v>
                </c:pt>
              </c:numCache>
            </c:numRef>
          </c:val>
          <c:extLst>
            <c:ext xmlns:c16="http://schemas.microsoft.com/office/drawing/2014/chart" uri="{C3380CC4-5D6E-409C-BE32-E72D297353CC}">
              <c16:uniqueId val="{00000009-0C4E-4DF7-B047-D1E082AA5C41}"/>
            </c:ext>
          </c:extLst>
        </c:ser>
        <c:ser>
          <c:idx val="2"/>
          <c:order val="2"/>
          <c:tx>
            <c:strRef>
              <c:f>'Sales by Category &amp; Region'!$D$3:$D$4</c:f>
              <c:strCache>
                <c:ptCount val="1"/>
                <c:pt idx="0">
                  <c:v>North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Region'!$D$5:$D$11</c:f>
              <c:numCache>
                <c:formatCode>_("₹"* #,##0.00_);_("₹"* \(#,##0.00\);_("₹"* "-"??_);_(@_)</c:formatCode>
                <c:ptCount val="6"/>
                <c:pt idx="0">
                  <c:v>193607.34999999998</c:v>
                </c:pt>
                <c:pt idx="1">
                  <c:v>123001.33000000002</c:v>
                </c:pt>
                <c:pt idx="2">
                  <c:v>165068.22999999998</c:v>
                </c:pt>
                <c:pt idx="3">
                  <c:v>167816.56</c:v>
                </c:pt>
                <c:pt idx="4">
                  <c:v>215940.95999999996</c:v>
                </c:pt>
                <c:pt idx="5">
                  <c:v>167567.31</c:v>
                </c:pt>
              </c:numCache>
            </c:numRef>
          </c:val>
          <c:extLst>
            <c:ext xmlns:c16="http://schemas.microsoft.com/office/drawing/2014/chart" uri="{C3380CC4-5D6E-409C-BE32-E72D297353CC}">
              <c16:uniqueId val="{0000000A-0C4E-4DF7-B047-D1E082AA5C41}"/>
            </c:ext>
          </c:extLst>
        </c:ser>
        <c:ser>
          <c:idx val="3"/>
          <c:order val="3"/>
          <c:tx>
            <c:strRef>
              <c:f>'Sales by Category &amp; Region'!$E$3:$E$4</c:f>
              <c:strCache>
                <c:ptCount val="1"/>
                <c:pt idx="0">
                  <c:v>South</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Region'!$E$5:$E$11</c:f>
              <c:numCache>
                <c:formatCode>_("₹"* #,##0.00_);_("₹"* \(#,##0.00\);_("₹"* "-"??_);_(@_)</c:formatCode>
                <c:ptCount val="6"/>
                <c:pt idx="0">
                  <c:v>122371.85</c:v>
                </c:pt>
                <c:pt idx="1">
                  <c:v>70183.41</c:v>
                </c:pt>
                <c:pt idx="2">
                  <c:v>172592.55999999997</c:v>
                </c:pt>
                <c:pt idx="3">
                  <c:v>154577.33999999997</c:v>
                </c:pt>
                <c:pt idx="4">
                  <c:v>118582.86000000002</c:v>
                </c:pt>
                <c:pt idx="5">
                  <c:v>115107.41</c:v>
                </c:pt>
              </c:numCache>
            </c:numRef>
          </c:val>
          <c:extLst>
            <c:ext xmlns:c16="http://schemas.microsoft.com/office/drawing/2014/chart" uri="{C3380CC4-5D6E-409C-BE32-E72D297353CC}">
              <c16:uniqueId val="{0000000B-0C4E-4DF7-B047-D1E082AA5C41}"/>
            </c:ext>
          </c:extLst>
        </c:ser>
        <c:ser>
          <c:idx val="4"/>
          <c:order val="4"/>
          <c:tx>
            <c:strRef>
              <c:f>'Sales by Category &amp; Region'!$F$3:$F$4</c:f>
              <c:strCache>
                <c:ptCount val="1"/>
                <c:pt idx="0">
                  <c:v>West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 &amp; Region'!$A$5:$A$11</c:f>
              <c:strCache>
                <c:ptCount val="6"/>
                <c:pt idx="0">
                  <c:v>Dark</c:v>
                </c:pt>
                <c:pt idx="1">
                  <c:v>Filled</c:v>
                </c:pt>
                <c:pt idx="2">
                  <c:v>Milk</c:v>
                </c:pt>
                <c:pt idx="3">
                  <c:v>Truffle</c:v>
                </c:pt>
                <c:pt idx="4">
                  <c:v>Wafer</c:v>
                </c:pt>
                <c:pt idx="5">
                  <c:v>White</c:v>
                </c:pt>
              </c:strCache>
            </c:strRef>
          </c:cat>
          <c:val>
            <c:numRef>
              <c:f>'Sales by Category &amp; Region'!$F$5:$F$11</c:f>
              <c:numCache>
                <c:formatCode>_("₹"* #,##0.00_);_("₹"* \(#,##0.00\);_("₹"* "-"??_);_(@_)</c:formatCode>
                <c:ptCount val="6"/>
                <c:pt idx="0">
                  <c:v>129594.26000000002</c:v>
                </c:pt>
                <c:pt idx="1">
                  <c:v>109742.74</c:v>
                </c:pt>
                <c:pt idx="2">
                  <c:v>145914.36000000002</c:v>
                </c:pt>
                <c:pt idx="3">
                  <c:v>114747.87000000001</c:v>
                </c:pt>
                <c:pt idx="4">
                  <c:v>162348.88000000003</c:v>
                </c:pt>
                <c:pt idx="5">
                  <c:v>124684.60000000002</c:v>
                </c:pt>
              </c:numCache>
            </c:numRef>
          </c:val>
          <c:extLst>
            <c:ext xmlns:c16="http://schemas.microsoft.com/office/drawing/2014/chart" uri="{C3380CC4-5D6E-409C-BE32-E72D297353CC}">
              <c16:uniqueId val="{0000000C-0C4E-4DF7-B047-D1E082AA5C41}"/>
            </c:ext>
          </c:extLst>
        </c:ser>
        <c:dLbls>
          <c:showLegendKey val="0"/>
          <c:showVal val="0"/>
          <c:showCatName val="0"/>
          <c:showSerName val="0"/>
          <c:showPercent val="0"/>
          <c:showBubbleSize val="0"/>
        </c:dLbls>
        <c:gapWidth val="115"/>
        <c:overlap val="-20"/>
        <c:axId val="450157120"/>
        <c:axId val="450143680"/>
      </c:barChart>
      <c:catAx>
        <c:axId val="4501571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43680"/>
        <c:crosses val="autoZero"/>
        <c:auto val="1"/>
        <c:lblAlgn val="ctr"/>
        <c:lblOffset val="100"/>
        <c:noMultiLvlLbl val="0"/>
      </c:catAx>
      <c:valAx>
        <c:axId val="45014368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57120"/>
        <c:crosses val="autoZero"/>
        <c:crossBetween val="between"/>
      </c:valAx>
      <c:spPr>
        <a:noFill/>
        <a:ln>
          <a:noFill/>
        </a:ln>
        <a:effectLst/>
      </c:spPr>
    </c:plotArea>
    <c:legend>
      <c:legendPos val="r"/>
      <c:layout>
        <c:manualLayout>
          <c:xMode val="edge"/>
          <c:yMode val="edge"/>
          <c:x val="0.89545155511241914"/>
          <c:y val="0.21681075230122895"/>
          <c:w val="6.3496117625366208E-2"/>
          <c:h val="0.35874181396531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[Chocolate_Sales.xlsx]Monthly Sales!PivotTable5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Monthly Sales Trend</a:t>
            </a:r>
            <a:endParaRPr lang="en-US" sz="1800" b="1"/>
          </a:p>
        </c:rich>
      </c:tx>
      <c:layout>
        <c:manualLayout>
          <c:xMode val="edge"/>
          <c:yMode val="edge"/>
          <c:x val="0.34496768449718423"/>
          <c:y val="6.5647603908666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_("₹"* #,##0.00_);_("₹"* \(#,##0.00\);_("₹"* "-"??_);_(@_)</c:formatCode>
                <c:ptCount val="12"/>
                <c:pt idx="0">
                  <c:v>478856.87000000005</c:v>
                </c:pt>
                <c:pt idx="1">
                  <c:v>340651.9499999999</c:v>
                </c:pt>
                <c:pt idx="2">
                  <c:v>422122.86000000004</c:v>
                </c:pt>
                <c:pt idx="3">
                  <c:v>302618.23</c:v>
                </c:pt>
                <c:pt idx="4">
                  <c:v>521573.68000000005</c:v>
                </c:pt>
                <c:pt idx="5">
                  <c:v>296790.64999999997</c:v>
                </c:pt>
                <c:pt idx="6">
                  <c:v>367004.45</c:v>
                </c:pt>
                <c:pt idx="7">
                  <c:v>477556.9</c:v>
                </c:pt>
                <c:pt idx="8">
                  <c:v>324550.02000000008</c:v>
                </c:pt>
                <c:pt idx="9">
                  <c:v>465635.37000000005</c:v>
                </c:pt>
                <c:pt idx="10">
                  <c:v>383372.49</c:v>
                </c:pt>
                <c:pt idx="11">
                  <c:v>337728.52999999991</c:v>
                </c:pt>
              </c:numCache>
            </c:numRef>
          </c:val>
          <c:smooth val="0"/>
          <c:extLst>
            <c:ext xmlns:c16="http://schemas.microsoft.com/office/drawing/2014/chart" uri="{C3380CC4-5D6E-409C-BE32-E72D297353CC}">
              <c16:uniqueId val="{00000000-F0B2-48B8-B113-5B7E30458887}"/>
            </c:ext>
          </c:extLst>
        </c:ser>
        <c:dLbls>
          <c:showLegendKey val="0"/>
          <c:showVal val="0"/>
          <c:showCatName val="0"/>
          <c:showSerName val="0"/>
          <c:showPercent val="0"/>
          <c:showBubbleSize val="0"/>
        </c:dLbls>
        <c:marker val="1"/>
        <c:smooth val="0"/>
        <c:axId val="450134560"/>
        <c:axId val="450135040"/>
      </c:lineChart>
      <c:catAx>
        <c:axId val="4501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35040"/>
        <c:crosses val="autoZero"/>
        <c:auto val="1"/>
        <c:lblAlgn val="ctr"/>
        <c:lblOffset val="100"/>
        <c:noMultiLvlLbl val="0"/>
      </c:catAx>
      <c:valAx>
        <c:axId val="450135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3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[Chocolate_Sales.xlsx]Sales by Category!PivotTable3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Category-wise Sales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5DC-459E-9CF9-3E1C1F4B231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5DC-459E-9CF9-3E1C1F4B231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5DC-459E-9CF9-3E1C1F4B231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5DC-459E-9CF9-3E1C1F4B231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5DC-459E-9CF9-3E1C1F4B231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5DC-459E-9CF9-3E1C1F4B231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AA1-4A66-BD42-C7537AAEC80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'Sales by Category'!$A$4:$A$11</c:f>
              <c:strCache>
                <c:ptCount val="7"/>
                <c:pt idx="0">
                  <c:v>Dark</c:v>
                </c:pt>
                <c:pt idx="1">
                  <c:v>Filled</c:v>
                </c:pt>
                <c:pt idx="2">
                  <c:v>Milk</c:v>
                </c:pt>
                <c:pt idx="3">
                  <c:v>Truffle</c:v>
                </c:pt>
                <c:pt idx="4">
                  <c:v>Wafer</c:v>
                </c:pt>
                <c:pt idx="5">
                  <c:v>White</c:v>
                </c:pt>
                <c:pt idx="6">
                  <c:v>(blank)</c:v>
                </c:pt>
              </c:strCache>
            </c:strRef>
          </c:cat>
          <c:val>
            <c:numRef>
              <c:f>'Sales by Category'!$B$4:$B$11</c:f>
              <c:numCache>
                <c:formatCode>_("₹"* #,##0.00_);_("₹"* \(#,##0.00\);_("₹"* "-"??_);_(@_)</c:formatCode>
                <c:ptCount val="7"/>
                <c:pt idx="0">
                  <c:v>944484.20000000007</c:v>
                </c:pt>
                <c:pt idx="1">
                  <c:v>626987.35999999964</c:v>
                </c:pt>
                <c:pt idx="2">
                  <c:v>797747.2699999999</c:v>
                </c:pt>
                <c:pt idx="3">
                  <c:v>745554.45000000019</c:v>
                </c:pt>
                <c:pt idx="4">
                  <c:v>861953.84999999963</c:v>
                </c:pt>
                <c:pt idx="5">
                  <c:v>741734.87</c:v>
                </c:pt>
              </c:numCache>
            </c:numRef>
          </c:val>
          <c:extLst>
            <c:ext xmlns:c16="http://schemas.microsoft.com/office/drawing/2014/chart" uri="{C3380CC4-5D6E-409C-BE32-E72D297353CC}">
              <c16:uniqueId val="{0000000C-65DC-459E-9CF9-3E1C1F4B231D}"/>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4820640176600439"/>
          <c:y val="0.26545229381538576"/>
          <c:w val="0.2352373068432671"/>
          <c:h val="0.593330807240644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[Chocolate_Sales.xlsx]Sales by Region &amp; Channel!PivotTable2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Sales by Region and Channel</a:t>
            </a:r>
            <a:endParaRPr lang="en-IN" sz="1800" b="1"/>
          </a:p>
        </c:rich>
      </c:tx>
      <c:layout>
        <c:manualLayout>
          <c:xMode val="edge"/>
          <c:yMode val="edge"/>
          <c:x val="0.28707165109034266"/>
          <c:y val="8.7427968152025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Region &amp; Channel'!$B$3:$B$4</c:f>
              <c:strCache>
                <c:ptCount val="1"/>
                <c:pt idx="0">
                  <c:v>Distributor</c:v>
                </c:pt>
              </c:strCache>
            </c:strRef>
          </c:tx>
          <c:spPr>
            <a:solidFill>
              <a:schemeClr val="accent1"/>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Channel'!$B$5:$B$10</c:f>
              <c:numCache>
                <c:formatCode>_("₹"* #,##0.00_);_("₹"* \(#,##0.00\);_("₹"* "-"??_);_(@_)</c:formatCode>
                <c:ptCount val="5"/>
                <c:pt idx="0">
                  <c:v>251323.61000000004</c:v>
                </c:pt>
                <c:pt idx="1">
                  <c:v>194115.18</c:v>
                </c:pt>
                <c:pt idx="2">
                  <c:v>256663.72999999998</c:v>
                </c:pt>
                <c:pt idx="3">
                  <c:v>168468.81999999998</c:v>
                </c:pt>
                <c:pt idx="4">
                  <c:v>233782.97000000003</c:v>
                </c:pt>
              </c:numCache>
            </c:numRef>
          </c:val>
          <c:extLst>
            <c:ext xmlns:c16="http://schemas.microsoft.com/office/drawing/2014/chart" uri="{C3380CC4-5D6E-409C-BE32-E72D297353CC}">
              <c16:uniqueId val="{00000000-62E0-4F4E-931F-C4D3BC251C86}"/>
            </c:ext>
          </c:extLst>
        </c:ser>
        <c:ser>
          <c:idx val="1"/>
          <c:order val="1"/>
          <c:tx>
            <c:strRef>
              <c:f>'Sales by Region &amp; Channel'!$C$3:$C$4</c:f>
              <c:strCache>
                <c:ptCount val="1"/>
                <c:pt idx="0">
                  <c:v>Online</c:v>
                </c:pt>
              </c:strCache>
            </c:strRef>
          </c:tx>
          <c:spPr>
            <a:solidFill>
              <a:schemeClr val="accent2"/>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Channel'!$C$5:$C$10</c:f>
              <c:numCache>
                <c:formatCode>_("₹"* #,##0.00_);_("₹"* \(#,##0.00\);_("₹"* "-"??_);_(@_)</c:formatCode>
                <c:ptCount val="5"/>
                <c:pt idx="0">
                  <c:v>415132.60999999993</c:v>
                </c:pt>
                <c:pt idx="1">
                  <c:v>173334.95</c:v>
                </c:pt>
                <c:pt idx="2">
                  <c:v>204684.29</c:v>
                </c:pt>
                <c:pt idx="3">
                  <c:v>184048.64000000001</c:v>
                </c:pt>
                <c:pt idx="4">
                  <c:v>186482.24000000002</c:v>
                </c:pt>
              </c:numCache>
            </c:numRef>
          </c:val>
          <c:extLst>
            <c:ext xmlns:c16="http://schemas.microsoft.com/office/drawing/2014/chart" uri="{C3380CC4-5D6E-409C-BE32-E72D297353CC}">
              <c16:uniqueId val="{00000001-590A-4293-9DB6-42CA9BA8462D}"/>
            </c:ext>
          </c:extLst>
        </c:ser>
        <c:ser>
          <c:idx val="2"/>
          <c:order val="2"/>
          <c:tx>
            <c:strRef>
              <c:f>'Sales by Region &amp; Channel'!$D$3:$D$4</c:f>
              <c:strCache>
                <c:ptCount val="1"/>
                <c:pt idx="0">
                  <c:v>Retail</c:v>
                </c:pt>
              </c:strCache>
            </c:strRef>
          </c:tx>
          <c:spPr>
            <a:solidFill>
              <a:schemeClr val="accent3"/>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Channel'!$D$5:$D$10</c:f>
              <c:numCache>
                <c:formatCode>_("₹"* #,##0.00_);_("₹"* \(#,##0.00\);_("₹"* "-"??_);_(@_)</c:formatCode>
                <c:ptCount val="5"/>
                <c:pt idx="0">
                  <c:v>250205.73</c:v>
                </c:pt>
                <c:pt idx="1">
                  <c:v>268580.04000000004</c:v>
                </c:pt>
                <c:pt idx="2">
                  <c:v>275625.30999999994</c:v>
                </c:pt>
                <c:pt idx="3">
                  <c:v>253785.87</c:v>
                </c:pt>
                <c:pt idx="4">
                  <c:v>147173.93</c:v>
                </c:pt>
              </c:numCache>
            </c:numRef>
          </c:val>
          <c:extLst>
            <c:ext xmlns:c16="http://schemas.microsoft.com/office/drawing/2014/chart" uri="{C3380CC4-5D6E-409C-BE32-E72D297353CC}">
              <c16:uniqueId val="{00000002-590A-4293-9DB6-42CA9BA8462D}"/>
            </c:ext>
          </c:extLst>
        </c:ser>
        <c:ser>
          <c:idx val="3"/>
          <c:order val="3"/>
          <c:tx>
            <c:strRef>
              <c:f>'Sales by Region &amp; Channel'!$E$3:$E$4</c:f>
              <c:strCache>
                <c:ptCount val="1"/>
                <c:pt idx="0">
                  <c:v>Supermarket</c:v>
                </c:pt>
              </c:strCache>
            </c:strRef>
          </c:tx>
          <c:spPr>
            <a:solidFill>
              <a:schemeClr val="accent4"/>
            </a:solidFill>
            <a:ln>
              <a:noFill/>
            </a:ln>
            <a:effectLst/>
          </c:spPr>
          <c:invertIfNegative val="0"/>
          <c:cat>
            <c:strRef>
              <c:f>'Sales by Region &amp; Channel'!$A$5:$A$10</c:f>
              <c:strCache>
                <c:ptCount val="5"/>
                <c:pt idx="0">
                  <c:v>Central</c:v>
                </c:pt>
                <c:pt idx="1">
                  <c:v>East</c:v>
                </c:pt>
                <c:pt idx="2">
                  <c:v>North</c:v>
                </c:pt>
                <c:pt idx="3">
                  <c:v>South</c:v>
                </c:pt>
                <c:pt idx="4">
                  <c:v>West</c:v>
                </c:pt>
              </c:strCache>
            </c:strRef>
          </c:cat>
          <c:val>
            <c:numRef>
              <c:f>'Sales by Region &amp; Channel'!$E$5:$E$10</c:f>
              <c:numCache>
                <c:formatCode>_("₹"* #,##0.00_);_("₹"* \(#,##0.00\);_("₹"* "-"??_);_(@_)</c:formatCode>
                <c:ptCount val="5"/>
                <c:pt idx="0">
                  <c:v>268342.94999999995</c:v>
                </c:pt>
                <c:pt idx="1">
                  <c:v>323977.04999999993</c:v>
                </c:pt>
                <c:pt idx="2">
                  <c:v>296028.40999999992</c:v>
                </c:pt>
                <c:pt idx="3">
                  <c:v>147112.1</c:v>
                </c:pt>
                <c:pt idx="4">
                  <c:v>219593.57</c:v>
                </c:pt>
              </c:numCache>
            </c:numRef>
          </c:val>
          <c:extLst>
            <c:ext xmlns:c16="http://schemas.microsoft.com/office/drawing/2014/chart" uri="{C3380CC4-5D6E-409C-BE32-E72D297353CC}">
              <c16:uniqueId val="{00000003-590A-4293-9DB6-42CA9BA8462D}"/>
            </c:ext>
          </c:extLst>
        </c:ser>
        <c:dLbls>
          <c:showLegendKey val="0"/>
          <c:showVal val="0"/>
          <c:showCatName val="0"/>
          <c:showSerName val="0"/>
          <c:showPercent val="0"/>
          <c:showBubbleSize val="0"/>
        </c:dLbls>
        <c:gapWidth val="150"/>
        <c:overlap val="100"/>
        <c:axId val="265516256"/>
        <c:axId val="265514816"/>
      </c:barChart>
      <c:catAx>
        <c:axId val="2655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14816"/>
        <c:crosses val="autoZero"/>
        <c:auto val="1"/>
        <c:lblAlgn val="ctr"/>
        <c:lblOffset val="100"/>
        <c:noMultiLvlLbl val="0"/>
      </c:catAx>
      <c:valAx>
        <c:axId val="2655148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1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[Chocolate_Sales.xlsx]Sales by region!PivotTable1</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b="1"/>
              <a:t>Total Sales by Region</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region'!$A$4:$A$10</c:f>
              <c:strCache>
                <c:ptCount val="6"/>
                <c:pt idx="0">
                  <c:v>Central</c:v>
                </c:pt>
                <c:pt idx="1">
                  <c:v>East</c:v>
                </c:pt>
                <c:pt idx="2">
                  <c:v>North</c:v>
                </c:pt>
                <c:pt idx="3">
                  <c:v>South</c:v>
                </c:pt>
                <c:pt idx="4">
                  <c:v>West</c:v>
                </c:pt>
                <c:pt idx="5">
                  <c:v>(blank)</c:v>
                </c:pt>
              </c:strCache>
            </c:strRef>
          </c:cat>
          <c:val>
            <c:numRef>
              <c:f>'Sales by region'!$B$4:$B$10</c:f>
              <c:numCache>
                <c:formatCode>_("₹"* #,##0.00_);_("₹"* \(#,##0.00\);_("₹"* "-"??_);_(@_)</c:formatCode>
                <c:ptCount val="6"/>
                <c:pt idx="0">
                  <c:v>1185004.8999999994</c:v>
                </c:pt>
                <c:pt idx="1">
                  <c:v>960007.21999999986</c:v>
                </c:pt>
                <c:pt idx="2">
                  <c:v>1033001.74</c:v>
                </c:pt>
                <c:pt idx="3">
                  <c:v>753415.43</c:v>
                </c:pt>
                <c:pt idx="4">
                  <c:v>787032.70999999985</c:v>
                </c:pt>
              </c:numCache>
            </c:numRef>
          </c:val>
          <c:extLst>
            <c:ext xmlns:c16="http://schemas.microsoft.com/office/drawing/2014/chart" uri="{C3380CC4-5D6E-409C-BE32-E72D297353CC}">
              <c16:uniqueId val="{00000000-BF5A-4415-8ED5-01707BEA8A97}"/>
            </c:ext>
          </c:extLst>
        </c:ser>
        <c:dLbls>
          <c:showLegendKey val="0"/>
          <c:showVal val="0"/>
          <c:showCatName val="0"/>
          <c:showSerName val="0"/>
          <c:showPercent val="0"/>
          <c:showBubbleSize val="0"/>
        </c:dLbls>
        <c:gapWidth val="100"/>
        <c:overlap val="-24"/>
        <c:axId val="265499936"/>
        <c:axId val="265500896"/>
      </c:barChart>
      <c:catAx>
        <c:axId val="265499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00896"/>
        <c:crosses val="autoZero"/>
        <c:auto val="1"/>
        <c:lblAlgn val="ctr"/>
        <c:lblOffset val="100"/>
        <c:noMultiLvlLbl val="0"/>
      </c:catAx>
      <c:valAx>
        <c:axId val="2655008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9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16809</xdr:colOff>
      <xdr:row>2</xdr:row>
      <xdr:rowOff>12327</xdr:rowOff>
    </xdr:from>
    <xdr:to>
      <xdr:col>10</xdr:col>
      <xdr:colOff>313765</xdr:colOff>
      <xdr:row>16</xdr:row>
      <xdr:rowOff>166968</xdr:rowOff>
    </xdr:to>
    <xdr:graphicFrame macro="">
      <xdr:nvGraphicFramePr>
        <xdr:cNvPr id="2" name="Chart 1">
          <a:extLst>
            <a:ext uri="{FF2B5EF4-FFF2-40B4-BE49-F238E27FC236}">
              <a16:creationId xmlns:a16="http://schemas.microsoft.com/office/drawing/2014/main" id="{79AAC916-3B9F-A021-E461-2DD03209C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46842</xdr:colOff>
      <xdr:row>10</xdr:row>
      <xdr:rowOff>28015</xdr:rowOff>
    </xdr:from>
    <xdr:to>
      <xdr:col>1</xdr:col>
      <xdr:colOff>849555</xdr:colOff>
      <xdr:row>21</xdr:row>
      <xdr:rowOff>86174</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6EDACFA-FCB7-494D-643A-D92271624B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842" y="1875288"/>
              <a:ext cx="1549319" cy="209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22860</xdr:colOff>
      <xdr:row>1</xdr:row>
      <xdr:rowOff>156210</xdr:rowOff>
    </xdr:from>
    <xdr:to>
      <xdr:col>17</xdr:col>
      <xdr:colOff>45720</xdr:colOff>
      <xdr:row>22</xdr:row>
      <xdr:rowOff>152400</xdr:rowOff>
    </xdr:to>
    <xdr:graphicFrame macro="">
      <xdr:nvGraphicFramePr>
        <xdr:cNvPr id="2" name="Chart 1">
          <a:extLst>
            <a:ext uri="{FF2B5EF4-FFF2-40B4-BE49-F238E27FC236}">
              <a16:creationId xmlns:a16="http://schemas.microsoft.com/office/drawing/2014/main" id="{C8FA6E49-CD66-745F-9875-B426BCF12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12</xdr:row>
      <xdr:rowOff>15240</xdr:rowOff>
    </xdr:from>
    <xdr:to>
      <xdr:col>2</xdr:col>
      <xdr:colOff>144780</xdr:colOff>
      <xdr:row>25</xdr:row>
      <xdr:rowOff>104775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C90869DB-5B9C-4594-3794-B9B72DD3D7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 y="2209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655320</xdr:colOff>
      <xdr:row>12</xdr:row>
      <xdr:rowOff>7620</xdr:rowOff>
    </xdr:from>
    <xdr:to>
      <xdr:col>4</xdr:col>
      <xdr:colOff>655320</xdr:colOff>
      <xdr:row>25</xdr:row>
      <xdr:rowOff>99060</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D9E9E120-81D2-8CA9-1684-AAF8458FF8F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362200" y="2202180"/>
              <a:ext cx="1935480" cy="246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15247</xdr:colOff>
      <xdr:row>1</xdr:row>
      <xdr:rowOff>179070</xdr:rowOff>
    </xdr:from>
    <xdr:to>
      <xdr:col>11</xdr:col>
      <xdr:colOff>410724</xdr:colOff>
      <xdr:row>17</xdr:row>
      <xdr:rowOff>102680</xdr:rowOff>
    </xdr:to>
    <xdr:graphicFrame macro="">
      <xdr:nvGraphicFramePr>
        <xdr:cNvPr id="2" name="Chart 1">
          <a:extLst>
            <a:ext uri="{FF2B5EF4-FFF2-40B4-BE49-F238E27FC236}">
              <a16:creationId xmlns:a16="http://schemas.microsoft.com/office/drawing/2014/main" id="{926F46CA-731A-6731-8A13-0434B9E67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182886</xdr:colOff>
      <xdr:row>1</xdr:row>
      <xdr:rowOff>95250</xdr:rowOff>
    </xdr:from>
    <xdr:to>
      <xdr:col>12</xdr:col>
      <xdr:colOff>137160</xdr:colOff>
      <xdr:row>19</xdr:row>
      <xdr:rowOff>114300</xdr:rowOff>
    </xdr:to>
    <xdr:graphicFrame macro="">
      <xdr:nvGraphicFramePr>
        <xdr:cNvPr id="2" name="Chart 1">
          <a:extLst>
            <a:ext uri="{FF2B5EF4-FFF2-40B4-BE49-F238E27FC236}">
              <a16:creationId xmlns:a16="http://schemas.microsoft.com/office/drawing/2014/main" id="{A3581BF1-882B-D524-E473-317B46F8F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xdr:colOff>
      <xdr:row>2</xdr:row>
      <xdr:rowOff>0</xdr:rowOff>
    </xdr:from>
    <xdr:to>
      <xdr:col>16</xdr:col>
      <xdr:colOff>15240</xdr:colOff>
      <xdr:row>15</xdr:row>
      <xdr:rowOff>89535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6448AA6B-17C4-FC51-5730-ADB43A5CF9E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14578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205740</xdr:colOff>
      <xdr:row>2</xdr:row>
      <xdr:rowOff>7620</xdr:rowOff>
    </xdr:from>
    <xdr:to>
      <xdr:col>18</xdr:col>
      <xdr:colOff>381000</xdr:colOff>
      <xdr:row>21</xdr:row>
      <xdr:rowOff>34290</xdr:rowOff>
    </xdr:to>
    <xdr:graphicFrame macro="">
      <xdr:nvGraphicFramePr>
        <xdr:cNvPr id="2" name="Chart 1">
          <a:extLst>
            <a:ext uri="{FF2B5EF4-FFF2-40B4-BE49-F238E27FC236}">
              <a16:creationId xmlns:a16="http://schemas.microsoft.com/office/drawing/2014/main" id="{A795B759-B6B8-A03E-A4AB-B63933DA4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12</xdr:row>
      <xdr:rowOff>15240</xdr:rowOff>
    </xdr:from>
    <xdr:to>
      <xdr:col>2</xdr:col>
      <xdr:colOff>861060</xdr:colOff>
      <xdr:row>25</xdr:row>
      <xdr:rowOff>104775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6FC6664E-9932-EE5C-0D80-472B5917E3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39140" y="2209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83820</xdr:colOff>
      <xdr:row>37</xdr:row>
      <xdr:rowOff>76200</xdr:rowOff>
    </xdr:from>
    <xdr:to>
      <xdr:col>14</xdr:col>
      <xdr:colOff>335280</xdr:colOff>
      <xdr:row>56</xdr:row>
      <xdr:rowOff>102870</xdr:rowOff>
    </xdr:to>
    <xdr:graphicFrame macro="">
      <xdr:nvGraphicFramePr>
        <xdr:cNvPr id="4" name="Chart 3">
          <a:extLst>
            <a:ext uri="{FF2B5EF4-FFF2-40B4-BE49-F238E27FC236}">
              <a16:creationId xmlns:a16="http://schemas.microsoft.com/office/drawing/2014/main" id="{439C60DC-9C99-488F-B965-68B3A797C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586740</xdr:colOff>
      <xdr:row>18</xdr:row>
      <xdr:rowOff>91440</xdr:rowOff>
    </xdr:from>
    <xdr:to>
      <xdr:col>18</xdr:col>
      <xdr:colOff>373380</xdr:colOff>
      <xdr:row>36</xdr:row>
      <xdr:rowOff>45720</xdr:rowOff>
    </xdr:to>
    <xdr:graphicFrame macro="">
      <xdr:nvGraphicFramePr>
        <xdr:cNvPr id="6" name="Chart 5">
          <a:extLst>
            <a:ext uri="{FF2B5EF4-FFF2-40B4-BE49-F238E27FC236}">
              <a16:creationId xmlns:a16="http://schemas.microsoft.com/office/drawing/2014/main" id="{EE8AFFEB-2181-4438-AC91-9251E309F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18</xdr:row>
      <xdr:rowOff>76200</xdr:rowOff>
    </xdr:from>
    <xdr:to>
      <xdr:col>7</xdr:col>
      <xdr:colOff>426720</xdr:colOff>
      <xdr:row>36</xdr:row>
      <xdr:rowOff>30480</xdr:rowOff>
    </xdr:to>
    <xdr:graphicFrame macro="">
      <xdr:nvGraphicFramePr>
        <xdr:cNvPr id="8" name="Chart 7">
          <a:extLst>
            <a:ext uri="{FF2B5EF4-FFF2-40B4-BE49-F238E27FC236}">
              <a16:creationId xmlns:a16="http://schemas.microsoft.com/office/drawing/2014/main" id="{AB5AC8CA-9C61-4C6A-BBA8-EED1C5894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563880</xdr:colOff>
      <xdr:row>2</xdr:row>
      <xdr:rowOff>53340</xdr:rowOff>
    </xdr:from>
    <xdr:to>
      <xdr:col>18</xdr:col>
      <xdr:colOff>381000</xdr:colOff>
      <xdr:row>17</xdr:row>
      <xdr:rowOff>38100</xdr:rowOff>
    </xdr:to>
    <xdr:graphicFrame macro="">
      <xdr:nvGraphicFramePr>
        <xdr:cNvPr id="9" name="Chart 8">
          <a:extLst>
            <a:ext uri="{FF2B5EF4-FFF2-40B4-BE49-F238E27FC236}">
              <a16:creationId xmlns:a16="http://schemas.microsoft.com/office/drawing/2014/main" id="{1517480A-62BB-4C46-8CB7-1960798C0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91440</xdr:colOff>
      <xdr:row>2</xdr:row>
      <xdr:rowOff>45720</xdr:rowOff>
    </xdr:from>
    <xdr:to>
      <xdr:col>7</xdr:col>
      <xdr:colOff>396240</xdr:colOff>
      <xdr:row>17</xdr:row>
      <xdr:rowOff>45720</xdr:rowOff>
    </xdr:to>
    <xdr:graphicFrame macro="">
      <xdr:nvGraphicFramePr>
        <xdr:cNvPr id="11" name="Chart 10">
          <a:extLst>
            <a:ext uri="{FF2B5EF4-FFF2-40B4-BE49-F238E27FC236}">
              <a16:creationId xmlns:a16="http://schemas.microsoft.com/office/drawing/2014/main" id="{076F5666-BB7A-409C-8DBA-A7D744879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137160</xdr:colOff>
      <xdr:row>37</xdr:row>
      <xdr:rowOff>60960</xdr:rowOff>
    </xdr:from>
    <xdr:to>
      <xdr:col>22</xdr:col>
      <xdr:colOff>601980</xdr:colOff>
      <xdr:row>50</xdr:row>
      <xdr:rowOff>142875</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4C9442AE-0C9D-45DF-9008-D3B6B4617B8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719560" y="7109460"/>
              <a:ext cx="2293620" cy="2459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106680</xdr:colOff>
      <xdr:row>2</xdr:row>
      <xdr:rowOff>53340</xdr:rowOff>
    </xdr:from>
    <xdr:to>
      <xdr:col>22</xdr:col>
      <xdr:colOff>525780</xdr:colOff>
      <xdr:row>15</xdr:row>
      <xdr:rowOff>142875</xdr:rowOff>
    </xdr:to>
    <mc:AlternateContent xmlns:mc="http://schemas.openxmlformats.org/markup-compatibility/2006" xmlns:a14="http://schemas.microsoft.com/office/drawing/2010/main">
      <mc:Choice Requires="a14">
        <xdr:graphicFrame macro="">
          <xdr:nvGraphicFramePr>
            <xdr:cNvPr id="20" name="Channel 1">
              <a:extLst>
                <a:ext uri="{FF2B5EF4-FFF2-40B4-BE49-F238E27FC236}">
                  <a16:creationId xmlns:a16="http://schemas.microsoft.com/office/drawing/2014/main" id="{65AE7E59-83CE-4B81-9698-790D79E72D16}"/>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1689080" y="701040"/>
              <a:ext cx="22479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91440</xdr:colOff>
      <xdr:row>16</xdr:row>
      <xdr:rowOff>152400</xdr:rowOff>
    </xdr:from>
    <xdr:to>
      <xdr:col>22</xdr:col>
      <xdr:colOff>556260</xdr:colOff>
      <xdr:row>36</xdr:row>
      <xdr:rowOff>30480</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11007EDF-E3C6-49D5-8E06-EFC6C9FA951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673840" y="3360420"/>
              <a:ext cx="2293620" cy="3535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533400</xdr:colOff>
      <xdr:row>37</xdr:row>
      <xdr:rowOff>106680</xdr:rowOff>
    </xdr:from>
    <xdr:to>
      <xdr:col>18</xdr:col>
      <xdr:colOff>350520</xdr:colOff>
      <xdr:row>50</xdr:row>
      <xdr:rowOff>144779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F7B22C1C-9693-483A-A0BC-6C62F522860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067800" y="7155180"/>
              <a:ext cx="2255520" cy="2415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Kanavaje" refreshedDate="46075.590953356485" createdVersion="8" refreshedVersion="8" minRefreshableVersion="3" recordCount="601" xr:uid="{5039F456-59B4-4B48-B8A6-FF618B1081C2}">
  <cacheSource type="worksheet">
    <worksheetSource ref="A1:N1048576" sheet="Chocolate_Sales"/>
  </cacheSource>
  <cacheFields count="15">
    <cacheField name="Order_ID" numFmtId="0">
      <sharedItems containsBlank="1"/>
    </cacheField>
    <cacheField name="Order_Date" numFmtId="0">
      <sharedItems containsBlank="1" count="299">
        <s v="2025-11-24"/>
        <s v="2025-08-05"/>
        <s v="2025-11-29"/>
        <s v="2025-02-19"/>
        <s v="2025-02-10"/>
        <s v="2025-02-05"/>
        <s v="2025-08-21"/>
        <s v="2025-05-06"/>
        <s v="2025-01-17"/>
        <s v="2025-11-26"/>
        <s v="2025-07-24"/>
        <s v="2025-03-23"/>
        <s v="2025-01-06"/>
        <s v="2025-08-11"/>
        <s v="2025-02-24"/>
        <s v="2025-09-29"/>
        <s v="2025-05-04"/>
        <s v="2025-12-04"/>
        <s v="2025-06-09"/>
        <s v="2025-06-23"/>
        <s v="2025-02-04"/>
        <s v="2025-10-20"/>
        <s v="2025-08-25"/>
        <s v="2025-05-02"/>
        <s v="2025-01-02"/>
        <s v="2025-04-22"/>
        <s v="2025-09-02"/>
        <s v="2025-02-11"/>
        <s v="2025-05-16"/>
        <s v="2025-11-15"/>
        <s v="2025-10-11"/>
        <s v="2025-05-25"/>
        <s v="2025-01-27"/>
        <s v="2025-08-15"/>
        <s v="2025-10-26"/>
        <s v="2025-12-16"/>
        <s v="2025-03-25"/>
        <s v="2025-06-29"/>
        <s v="2025-05-23"/>
        <s v="2025-04-02"/>
        <s v="2025-09-19"/>
        <s v="2025-08-09"/>
        <s v="2025-07-29"/>
        <s v="2025-03-31"/>
        <s v="2025-03-28"/>
        <s v="2025-06-08"/>
        <s v="2025-08-01"/>
        <s v="2025-12-02"/>
        <s v="2025-10-13"/>
        <s v="2025-08-17"/>
        <s v="2025-05-03"/>
        <s v="2025-06-19"/>
        <s v="2025-07-14"/>
        <s v="2025-04-23"/>
        <s v="2025-04-25"/>
        <s v="2025-03-20"/>
        <s v="2025-03-27"/>
        <s v="2025-01-14"/>
        <s v="2025-12-20"/>
        <s v="2025-09-30"/>
        <s v="2025-08-10"/>
        <s v="2025-08-12"/>
        <s v="2025-08-26"/>
        <s v="2025-04-19"/>
        <s v="2025-04-08"/>
        <s v="2025-01-09"/>
        <s v="2025-06-06"/>
        <s v="2025-04-21"/>
        <s v="2025-04-27"/>
        <s v="2025-09-03"/>
        <s v="2025-09-09"/>
        <s v="2025-05-08"/>
        <s v="2025-11-17"/>
        <s v="2025-02-28"/>
        <s v="2025-06-07"/>
        <s v="2025-10-04"/>
        <s v="2025-02-16"/>
        <s v="2025-08-29"/>
        <s v="2025-06-28"/>
        <s v="2025-09-11"/>
        <s v="2025-07-26"/>
        <s v="2025-07-05"/>
        <s v="2025-08-13"/>
        <s v="2025-01-08"/>
        <s v="2025-10-10"/>
        <s v="2025-06-24"/>
        <s v="2025-09-05"/>
        <s v="2025-07-15"/>
        <s v="2025-09-27"/>
        <s v="2025-01-19"/>
        <s v="2025-02-20"/>
        <s v="2025-05-31"/>
        <s v="2025-07-16"/>
        <s v="2025-07-22"/>
        <s v="2025-04-28"/>
        <s v="2025-11-27"/>
        <s v="2025-05-12"/>
        <s v="2025-04-26"/>
        <s v="2025-03-05"/>
        <s v="2025-04-30"/>
        <s v="2025-02-02"/>
        <s v="2025-06-05"/>
        <s v="2025-12-10"/>
        <s v="2025-11-12"/>
        <s v="2025-03-06"/>
        <s v="2025-06-18"/>
        <s v="2025-02-26"/>
        <s v="2025-09-16"/>
        <s v="2025-07-31"/>
        <s v="2025-05-11"/>
        <s v="2025-12-07"/>
        <s v="2025-09-17"/>
        <s v="2025-04-03"/>
        <s v="2025-03-14"/>
        <s v="2025-03-22"/>
        <s v="2025-11-13"/>
        <s v="2025-05-20"/>
        <s v="2025-12-08"/>
        <s v="2025-03-08"/>
        <s v="2025-01-22"/>
        <s v="2025-07-27"/>
        <s v="2025-10-16"/>
        <s v="2025-10-25"/>
        <s v="2025-03-19"/>
        <s v="2025-05-07"/>
        <s v="2025-07-18"/>
        <s v="2025-12-06"/>
        <s v="2025-10-14"/>
        <s v="2025-03-21"/>
        <s v="2025-07-12"/>
        <s v="2025-07-06"/>
        <s v="2025-09-28"/>
        <s v="2025-03-17"/>
        <s v="2025-05-28"/>
        <s v="2025-11-02"/>
        <s v="2025-11-11"/>
        <s v="2025-05-10"/>
        <s v="2025-01-23"/>
        <s v="2025-09-21"/>
        <s v="2025-04-06"/>
        <s v="2025-03-15"/>
        <s v="2025-03-12"/>
        <s v="2025-11-10"/>
        <s v="2025-08-16"/>
        <s v="2025-12-30"/>
        <s v="2025-02-07"/>
        <s v="2025-01-29"/>
        <s v="2025-05-26"/>
        <s v="2025-10-01"/>
        <s v="2025-04-15"/>
        <s v="2025-07-09"/>
        <s v="2025-10-23"/>
        <s v="2025-01-12"/>
        <s v="2025-01-26"/>
        <s v="2025-10-19"/>
        <s v="2025-05-24"/>
        <s v="2025-07-07"/>
        <s v="2025-06-20"/>
        <s v="2025-07-21"/>
        <s v="2025-12-15"/>
        <s v="2025-08-03"/>
        <s v="2025-04-17"/>
        <s v="2025-06-25"/>
        <s v="2025-05-29"/>
        <s v="2025-04-14"/>
        <s v="2025-08-30"/>
        <s v="2025-11-30"/>
        <s v="2025-01-20"/>
        <s v="2025-10-06"/>
        <s v="2025-12-12"/>
        <s v="2025-07-25"/>
        <s v="2025-05-01"/>
        <s v="2025-12-27"/>
        <s v="2025-06-17"/>
        <s v="2025-07-13"/>
        <s v="2025-10-03"/>
        <s v="2025-12-11"/>
        <s v="2025-04-16"/>
        <s v="2025-10-22"/>
        <s v="2025-12-05"/>
        <s v="2025-06-26"/>
        <s v="2025-04-05"/>
        <s v="2025-10-15"/>
        <s v="2025-11-28"/>
        <s v="2025-09-20"/>
        <s v="2025-06-10"/>
        <s v="2025-10-27"/>
        <s v="2025-10-09"/>
        <s v="2025-06-30"/>
        <s v="2025-12-09"/>
        <s v="2025-09-15"/>
        <s v="2025-05-05"/>
        <s v="2025-10-18"/>
        <s v="2025-06-11"/>
        <s v="2025-01-16"/>
        <s v="2025-05-22"/>
        <s v="2025-08-14"/>
        <s v="2025-09-13"/>
        <s v="2025-11-03"/>
        <s v="2025-12-26"/>
        <s v="2025-01-03"/>
        <s v="2025-12-28"/>
        <s v="2025-03-01"/>
        <s v="2025-03-11"/>
        <s v="2025-02-22"/>
        <s v="2025-07-30"/>
        <s v="2025-06-14"/>
        <s v="2025-02-08"/>
        <s v="2025-08-08"/>
        <s v="2025-09-06"/>
        <s v="2025-02-17"/>
        <s v="2025-02-09"/>
        <s v="2025-07-08"/>
        <s v="2025-12-18"/>
        <s v="2025-01-28"/>
        <s v="2025-06-12"/>
        <s v="2025-10-28"/>
        <s v="2025-12-31"/>
        <s v="2025-09-25"/>
        <s v="2025-07-04"/>
        <s v="2025-09-18"/>
        <s v="2025-07-10"/>
        <s v="2025-05-30"/>
        <s v="2025-10-07"/>
        <s v="2025-12-22"/>
        <s v="2025-09-24"/>
        <s v="2025-02-25"/>
        <s v="2025-08-20"/>
        <s v="2025-06-03"/>
        <s v="2025-08-07"/>
        <s v="2025-02-14"/>
        <s v="2025-07-03"/>
        <s v="2025-04-07"/>
        <s v="2025-04-01"/>
        <s v="2025-07-11"/>
        <s v="2025-11-05"/>
        <s v="2025-05-14"/>
        <s v="2025-11-01"/>
        <s v="2025-03-29"/>
        <s v="2025-12-23"/>
        <s v="2025-02-01"/>
        <s v="2025-05-13"/>
        <s v="2025-12-25"/>
        <s v="2025-10-29"/>
        <s v="2025-09-01"/>
        <s v="2025-08-02"/>
        <s v="2025-04-09"/>
        <s v="2025-12-19"/>
        <s v="2025-03-30"/>
        <s v="2025-09-22"/>
        <s v="2025-12-29"/>
        <s v="2025-12-03"/>
        <s v="2025-06-21"/>
        <s v="2025-04-10"/>
        <s v="2025-04-13"/>
        <s v="2025-09-07"/>
        <s v="2025-08-22"/>
        <s v="2025-11-16"/>
        <s v="2025-08-04"/>
        <s v="2025-04-04"/>
        <s v="2025-08-24"/>
        <s v="2025-12-01"/>
        <s v="2025-11-14"/>
        <s v="2025-04-24"/>
        <s v="2025-04-11"/>
        <s v="2025-01-24"/>
        <s v="2025-10-24"/>
        <s v="2025-11-08"/>
        <s v="2025-04-18"/>
        <s v="2025-01-07"/>
        <s v="2025-05-27"/>
        <s v="2025-10-12"/>
        <s v="2025-02-03"/>
        <s v="2025-02-06"/>
        <s v="2025-11-19"/>
        <s v="2025-10-21"/>
        <s v="2025-10-17"/>
        <s v="2025-04-29"/>
        <s v="2025-05-15"/>
        <s v="2025-05-09"/>
        <s v="2025-01-04"/>
        <s v="2025-03-07"/>
        <s v="2025-08-18"/>
        <s v="2025-07-23"/>
        <s v="2025-07-19"/>
        <s v="2025-01-18"/>
        <s v="2025-09-23"/>
        <s v="2025-08-19"/>
        <s v="2025-01-11"/>
        <s v="2025-07-01"/>
        <s v="2025-11-20"/>
        <s v="2025-11-22"/>
        <s v="2025-01-05"/>
        <s v="2025-06-02"/>
        <s v="2025-01-01"/>
        <s v="2025-09-08"/>
        <s v="2025-08-23"/>
        <s v="2025-02-12"/>
        <m/>
      </sharedItems>
      <fieldGroup par="14"/>
    </cacheField>
    <cacheField name="Product_ID" numFmtId="0">
      <sharedItems containsBlank="1"/>
    </cacheField>
    <cacheField name="Chocolate_Name" numFmtId="0">
      <sharedItems containsBlank="1"/>
    </cacheField>
    <cacheField name="Category" numFmtId="0">
      <sharedItems containsBlank="1" count="7">
        <s v="Wafer"/>
        <s v="Dark"/>
        <s v="Truffle"/>
        <s v="Milk"/>
        <s v="Filled"/>
        <s v="White"/>
        <m/>
      </sharedItems>
    </cacheField>
    <cacheField name="Unit_Price" numFmtId="44">
      <sharedItems containsString="0" containsBlank="1" containsNumber="1" minValue="1.51" maxValue="14.96"/>
    </cacheField>
    <cacheField name="Units_Sold" numFmtId="0">
      <sharedItems containsString="0" containsBlank="1" containsNumber="1" containsInteger="1" minValue="23" maxValue="1997"/>
    </cacheField>
    <cacheField name="Gross_Sales" numFmtId="44">
      <sharedItems containsString="0" containsBlank="1" containsNumber="1" minValue="88.14" maxValue="27907.439999999999"/>
    </cacheField>
    <cacheField name="Discount" numFmtId="44">
      <sharedItems containsString="0" containsBlank="1" containsNumber="1" minValue="0" maxValue="3826.67"/>
    </cacheField>
    <cacheField name="Sales" numFmtId="44">
      <sharedItems containsString="0" containsBlank="1" containsNumber="1" minValue="76.239999999999995" maxValue="26512.07"/>
    </cacheField>
    <cacheField name="Region" numFmtId="0">
      <sharedItems containsBlank="1" count="6">
        <s v="North"/>
        <s v="Central"/>
        <s v="East"/>
        <s v="South"/>
        <s v="West"/>
        <m/>
      </sharedItems>
    </cacheField>
    <cacheField name="Channel" numFmtId="0">
      <sharedItems containsBlank="1"/>
    </cacheField>
    <cacheField name="Sales_Rep" numFmtId="0">
      <sharedItems containsBlank="1"/>
    </cacheField>
    <cacheField name="Month" numFmtId="0">
      <sharedItems containsBlank="1" count="13">
        <s v="Nov"/>
        <s v="Aug"/>
        <s v="Feb"/>
        <s v="May"/>
        <s v="Jan"/>
        <s v="Jul"/>
        <s v="Mar"/>
        <s v="Sep"/>
        <s v="Dec"/>
        <s v="Jun"/>
        <s v="Oct"/>
        <s v="Apr"/>
        <m/>
      </sharedItems>
    </cacheField>
    <cacheField name="Order_Date2" numFmtId="0" databaseField="0">
      <fieldGroup base="1">
        <discretePr count="299">
          <x v="11"/>
          <x v="8"/>
          <x v="11"/>
          <x v="2"/>
          <x v="2"/>
          <x v="2"/>
          <x v="8"/>
          <x v="5"/>
          <x v="1"/>
          <x v="11"/>
          <x v="7"/>
          <x v="3"/>
          <x v="1"/>
          <x v="8"/>
          <x v="2"/>
          <x v="9"/>
          <x v="5"/>
          <x v="12"/>
          <x v="6"/>
          <x v="6"/>
          <x v="2"/>
          <x v="10"/>
          <x v="8"/>
          <x v="5"/>
          <x v="1"/>
          <x v="4"/>
          <x v="9"/>
          <x v="2"/>
          <x v="5"/>
          <x v="11"/>
          <x v="10"/>
          <x v="5"/>
          <x v="1"/>
          <x v="8"/>
          <x v="10"/>
          <x v="12"/>
          <x v="3"/>
          <x v="6"/>
          <x v="5"/>
          <x v="4"/>
          <x v="9"/>
          <x v="8"/>
          <x v="7"/>
          <x v="3"/>
          <x v="3"/>
          <x v="6"/>
          <x v="8"/>
          <x v="12"/>
          <x v="10"/>
          <x v="8"/>
          <x v="5"/>
          <x v="6"/>
          <x v="7"/>
          <x v="4"/>
          <x v="4"/>
          <x v="3"/>
          <x v="3"/>
          <x v="1"/>
          <x v="12"/>
          <x v="9"/>
          <x v="8"/>
          <x v="8"/>
          <x v="8"/>
          <x v="4"/>
          <x v="4"/>
          <x v="1"/>
          <x v="6"/>
          <x v="4"/>
          <x v="4"/>
          <x v="9"/>
          <x v="9"/>
          <x v="5"/>
          <x v="11"/>
          <x v="2"/>
          <x v="6"/>
          <x v="10"/>
          <x v="2"/>
          <x v="8"/>
          <x v="6"/>
          <x v="9"/>
          <x v="7"/>
          <x v="7"/>
          <x v="8"/>
          <x v="1"/>
          <x v="10"/>
          <x v="6"/>
          <x v="9"/>
          <x v="7"/>
          <x v="9"/>
          <x v="1"/>
          <x v="2"/>
          <x v="5"/>
          <x v="7"/>
          <x v="7"/>
          <x v="4"/>
          <x v="11"/>
          <x v="5"/>
          <x v="4"/>
          <x v="3"/>
          <x v="4"/>
          <x v="2"/>
          <x v="6"/>
          <x v="12"/>
          <x v="11"/>
          <x v="3"/>
          <x v="6"/>
          <x v="2"/>
          <x v="9"/>
          <x v="7"/>
          <x v="5"/>
          <x v="12"/>
          <x v="9"/>
          <x v="4"/>
          <x v="3"/>
          <x v="3"/>
          <x v="11"/>
          <x v="5"/>
          <x v="12"/>
          <x v="3"/>
          <x v="1"/>
          <x v="7"/>
          <x v="10"/>
          <x v="10"/>
          <x v="3"/>
          <x v="5"/>
          <x v="7"/>
          <x v="12"/>
          <x v="10"/>
          <x v="3"/>
          <x v="7"/>
          <x v="7"/>
          <x v="9"/>
          <x v="3"/>
          <x v="5"/>
          <x v="11"/>
          <x v="11"/>
          <x v="5"/>
          <x v="1"/>
          <x v="9"/>
          <x v="4"/>
          <x v="3"/>
          <x v="3"/>
          <x v="11"/>
          <x v="8"/>
          <x v="12"/>
          <x v="2"/>
          <x v="1"/>
          <x v="5"/>
          <x v="10"/>
          <x v="4"/>
          <x v="7"/>
          <x v="10"/>
          <x v="1"/>
          <x v="1"/>
          <x v="10"/>
          <x v="5"/>
          <x v="7"/>
          <x v="6"/>
          <x v="7"/>
          <x v="12"/>
          <x v="8"/>
          <x v="4"/>
          <x v="6"/>
          <x v="5"/>
          <x v="4"/>
          <x v="8"/>
          <x v="11"/>
          <x v="1"/>
          <x v="10"/>
          <x v="12"/>
          <x v="7"/>
          <x v="5"/>
          <x v="12"/>
          <x v="6"/>
          <x v="7"/>
          <x v="10"/>
          <x v="12"/>
          <x v="4"/>
          <x v="10"/>
          <x v="12"/>
          <x v="6"/>
          <x v="4"/>
          <x v="10"/>
          <x v="11"/>
          <x v="9"/>
          <x v="6"/>
          <x v="10"/>
          <x v="10"/>
          <x v="6"/>
          <x v="12"/>
          <x v="9"/>
          <x v="5"/>
          <x v="10"/>
          <x v="6"/>
          <x v="1"/>
          <x v="5"/>
          <x v="8"/>
          <x v="9"/>
          <x v="11"/>
          <x v="12"/>
          <x v="1"/>
          <x v="12"/>
          <x v="3"/>
          <x v="3"/>
          <x v="2"/>
          <x v="7"/>
          <x v="6"/>
          <x v="2"/>
          <x v="8"/>
          <x v="9"/>
          <x v="2"/>
          <x v="2"/>
          <x v="7"/>
          <x v="12"/>
          <x v="1"/>
          <x v="6"/>
          <x v="10"/>
          <x v="12"/>
          <x v="9"/>
          <x v="7"/>
          <x v="9"/>
          <x v="7"/>
          <x v="5"/>
          <x v="10"/>
          <x v="12"/>
          <x v="9"/>
          <x v="2"/>
          <x v="8"/>
          <x v="6"/>
          <x v="8"/>
          <x v="2"/>
          <x v="7"/>
          <x v="4"/>
          <x v="4"/>
          <x v="7"/>
          <x v="11"/>
          <x v="5"/>
          <x v="11"/>
          <x v="3"/>
          <x v="12"/>
          <x v="2"/>
          <x v="5"/>
          <x v="12"/>
          <x v="10"/>
          <x v="9"/>
          <x v="8"/>
          <x v="4"/>
          <x v="12"/>
          <x v="3"/>
          <x v="9"/>
          <x v="12"/>
          <x v="12"/>
          <x v="6"/>
          <x v="4"/>
          <x v="4"/>
          <x v="9"/>
          <x v="8"/>
          <x v="11"/>
          <x v="8"/>
          <x v="4"/>
          <x v="8"/>
          <x v="12"/>
          <x v="11"/>
          <x v="4"/>
          <x v="4"/>
          <x v="1"/>
          <x v="10"/>
          <x v="11"/>
          <x v="4"/>
          <x v="1"/>
          <x v="5"/>
          <x v="10"/>
          <x v="2"/>
          <x v="2"/>
          <x v="11"/>
          <x v="10"/>
          <x v="10"/>
          <x v="4"/>
          <x v="5"/>
          <x v="5"/>
          <x v="1"/>
          <x v="3"/>
          <x v="8"/>
          <x v="7"/>
          <x v="7"/>
          <x v="1"/>
          <x v="9"/>
          <x v="8"/>
          <x v="1"/>
          <x v="7"/>
          <x v="11"/>
          <x v="11"/>
          <x v="1"/>
          <x v="6"/>
          <x v="1"/>
          <x v="9"/>
          <x v="8"/>
          <x v="2"/>
          <x v="0"/>
        </discretePr>
        <groupItems count="13">
          <s v="(blank)"/>
          <s v="Group1"/>
          <s v="Group2"/>
          <s v="Group3"/>
          <s v="Group4"/>
          <s v="Group5"/>
          <s v="Group6"/>
          <s v="Group7"/>
          <s v="Group8"/>
          <s v="Group9"/>
          <s v="Group10"/>
          <s v="Group11"/>
          <s v="Group12"/>
        </groupItems>
      </fieldGroup>
    </cacheField>
  </cacheFields>
  <extLst>
    <ext xmlns:x14="http://schemas.microsoft.com/office/spreadsheetml/2009/9/main" uri="{725AE2AE-9491-48be-B2B4-4EB974FC3084}">
      <x14:pivotCacheDefinition pivotCacheId="2782153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Kanavaje" refreshedDate="46075.590954050924" createdVersion="8" refreshedVersion="8" minRefreshableVersion="3" recordCount="601" xr:uid="{067BC408-F622-4AF9-9A26-D5CC022F56F4}">
  <cacheSource type="worksheet">
    <worksheetSource ref="A1:M1048576" sheet="Chocolate_Sales"/>
  </cacheSource>
  <cacheFields count="13">
    <cacheField name="Order_ID" numFmtId="0">
      <sharedItems containsBlank="1"/>
    </cacheField>
    <cacheField name="Order_Date" numFmtId="0">
      <sharedItems containsBlank="1"/>
    </cacheField>
    <cacheField name="Product_ID" numFmtId="0">
      <sharedItems containsBlank="1"/>
    </cacheField>
    <cacheField name="Chocolate_Name" numFmtId="0">
      <sharedItems containsBlank="1"/>
    </cacheField>
    <cacheField name="Category" numFmtId="0">
      <sharedItems containsBlank="1" count="7">
        <s v="Wafer"/>
        <s v="Dark"/>
        <s v="Truffle"/>
        <s v="Milk"/>
        <s v="Filled"/>
        <s v="White"/>
        <m/>
      </sharedItems>
    </cacheField>
    <cacheField name="Unit_Price" numFmtId="44">
      <sharedItems containsString="0" containsBlank="1" containsNumber="1" minValue="1.51" maxValue="14.96"/>
    </cacheField>
    <cacheField name="Units_Sold" numFmtId="0">
      <sharedItems containsString="0" containsBlank="1" containsNumber="1" containsInteger="1" minValue="23" maxValue="1997"/>
    </cacheField>
    <cacheField name="Gross_Sales" numFmtId="44">
      <sharedItems containsString="0" containsBlank="1" containsNumber="1" minValue="88.14" maxValue="27907.439999999999"/>
    </cacheField>
    <cacheField name="Discount" numFmtId="44">
      <sharedItems containsString="0" containsBlank="1" containsNumber="1" minValue="0" maxValue="3826.67"/>
    </cacheField>
    <cacheField name="Sales" numFmtId="44">
      <sharedItems containsString="0" containsBlank="1" containsNumber="1" minValue="76.239999999999995" maxValue="26512.07"/>
    </cacheField>
    <cacheField name="Region" numFmtId="0">
      <sharedItems containsBlank="1" count="6">
        <s v="North"/>
        <s v="Central"/>
        <s v="East"/>
        <s v="South"/>
        <s v="West"/>
        <m/>
      </sharedItems>
    </cacheField>
    <cacheField name="Channel" numFmtId="0">
      <sharedItems containsBlank="1" count="5">
        <s v="Retail"/>
        <s v="Online"/>
        <s v="Supermarket"/>
        <s v="Distributor"/>
        <m/>
      </sharedItems>
    </cacheField>
    <cacheField name="Sales_Rep" numFmtId="0">
      <sharedItems containsBlank="1" count="7">
        <s v="K. Patel"/>
        <s v="M. Khan"/>
        <s v="S. Nair"/>
        <s v="P. Iyer"/>
        <s v="R. Mehta"/>
        <s v="A. Sharma"/>
        <m/>
      </sharedItems>
    </cacheField>
  </cacheFields>
  <extLst>
    <ext xmlns:x14="http://schemas.microsoft.com/office/spreadsheetml/2009/9/main" uri="{725AE2AE-9491-48be-B2B4-4EB974FC3084}">
      <x14:pivotCacheDefinition pivotCacheId="1066071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s v="ORD00001"/>
    <x v="0"/>
    <s v="CHOC0029"/>
    <s v="Dark Delight"/>
    <x v="0"/>
    <n v="5.21"/>
    <n v="477"/>
    <n v="2485.17"/>
    <n v="124.26"/>
    <n v="2360.91"/>
    <x v="0"/>
    <s v="Retail"/>
    <s v="K. Patel"/>
    <x v="0"/>
  </r>
  <r>
    <s v="ORD00002"/>
    <x v="1"/>
    <s v="CHOC0009"/>
    <s v="Dark Delight"/>
    <x v="1"/>
    <n v="4.45"/>
    <n v="1054"/>
    <n v="4690.3"/>
    <n v="0"/>
    <n v="4690.3"/>
    <x v="1"/>
    <s v="Online"/>
    <s v="M. Khan"/>
    <x v="1"/>
  </r>
  <r>
    <s v="ORD00003"/>
    <x v="2"/>
    <s v="CHOC0180"/>
    <s v="White Pearl"/>
    <x v="2"/>
    <n v="4.4800000000000004"/>
    <n v="1226"/>
    <n v="5492.48"/>
    <n v="549.25"/>
    <n v="4943.2299999999996"/>
    <x v="0"/>
    <s v="Online"/>
    <s v="M. Khan"/>
    <x v="0"/>
  </r>
  <r>
    <s v="ORD00004"/>
    <x v="1"/>
    <s v="CHOC0088"/>
    <s v="Berry Infusion"/>
    <x v="3"/>
    <n v="4.41"/>
    <n v="1583"/>
    <n v="6981.03"/>
    <n v="698.1"/>
    <n v="6282.93"/>
    <x v="0"/>
    <s v="Retail"/>
    <s v="S. Nair"/>
    <x v="1"/>
  </r>
  <r>
    <s v="ORD00005"/>
    <x v="3"/>
    <s v="CHOC0092"/>
    <s v="Silk Sensation"/>
    <x v="4"/>
    <n v="5.07"/>
    <n v="108"/>
    <n v="547.55999999999995"/>
    <n v="82.13"/>
    <n v="465.43"/>
    <x v="1"/>
    <s v="Retail"/>
    <s v="S. Nair"/>
    <x v="2"/>
  </r>
  <r>
    <s v="ORD00006"/>
    <x v="4"/>
    <s v="CHOC0142"/>
    <s v="Minty Magic"/>
    <x v="0"/>
    <n v="9.85"/>
    <n v="1784"/>
    <n v="17572.400000000001"/>
    <n v="1757.24"/>
    <n v="15815.16"/>
    <x v="1"/>
    <s v="Online"/>
    <s v="M. Khan"/>
    <x v="2"/>
  </r>
  <r>
    <s v="ORD00007"/>
    <x v="5"/>
    <s v="CHOC0012"/>
    <s v="Choco Supreme"/>
    <x v="5"/>
    <n v="14.8"/>
    <n v="1771"/>
    <n v="26210.799999999999"/>
    <n v="1310.54"/>
    <n v="24900.26"/>
    <x v="0"/>
    <s v="Supermarket"/>
    <s v="P. Iyer"/>
    <x v="2"/>
  </r>
  <r>
    <s v="ORD00008"/>
    <x v="6"/>
    <s v="CHOC0163"/>
    <s v="Silk Sensation"/>
    <x v="3"/>
    <n v="6.5"/>
    <n v="449"/>
    <n v="2918.5"/>
    <n v="291.85000000000002"/>
    <n v="2626.65"/>
    <x v="0"/>
    <s v="Online"/>
    <s v="K. Patel"/>
    <x v="1"/>
  </r>
  <r>
    <s v="ORD00009"/>
    <x v="7"/>
    <s v="CHOC0042"/>
    <s v="Choco Fusion"/>
    <x v="2"/>
    <n v="5.14"/>
    <n v="1915"/>
    <n v="9843.1"/>
    <n v="492.16"/>
    <n v="9350.94"/>
    <x v="2"/>
    <s v="Retail"/>
    <s v="R. Mehta"/>
    <x v="3"/>
  </r>
  <r>
    <s v="ORD00010"/>
    <x v="8"/>
    <s v="CHOC0081"/>
    <s v="Classic Cocoa"/>
    <x v="5"/>
    <n v="2.39"/>
    <n v="1890"/>
    <n v="4517.1000000000004"/>
    <n v="451.71"/>
    <n v="4065.39"/>
    <x v="3"/>
    <s v="Supermarket"/>
    <s v="S. Nair"/>
    <x v="4"/>
  </r>
  <r>
    <s v="ORD00011"/>
    <x v="9"/>
    <s v="CHOC0118"/>
    <s v="Almond Elegance"/>
    <x v="5"/>
    <n v="3.39"/>
    <n v="1545"/>
    <n v="5237.55"/>
    <n v="523.75"/>
    <n v="4713.8"/>
    <x v="1"/>
    <s v="Supermarket"/>
    <s v="K. Patel"/>
    <x v="0"/>
  </r>
  <r>
    <s v="ORD00012"/>
    <x v="10"/>
    <s v="CHOC0093"/>
    <s v="Choco Supreme"/>
    <x v="3"/>
    <n v="8.3800000000000008"/>
    <n v="206"/>
    <n v="1726.28"/>
    <n v="0"/>
    <n v="1726.28"/>
    <x v="0"/>
    <s v="Online"/>
    <s v="M. Khan"/>
    <x v="5"/>
  </r>
  <r>
    <s v="ORD00013"/>
    <x v="11"/>
    <s v="CHOC0175"/>
    <s v="Royal Fudge"/>
    <x v="4"/>
    <n v="2.36"/>
    <n v="801"/>
    <n v="1890.36"/>
    <n v="283.55"/>
    <n v="1606.81"/>
    <x v="1"/>
    <s v="Distributor"/>
    <s v="K. Patel"/>
    <x v="6"/>
  </r>
  <r>
    <s v="ORD00014"/>
    <x v="12"/>
    <s v="CHOC0175"/>
    <s v="Caramel Crunch"/>
    <x v="0"/>
    <n v="13.44"/>
    <n v="1557"/>
    <n v="20926.080000000002"/>
    <n v="2092.61"/>
    <n v="18833.47"/>
    <x v="2"/>
    <s v="Retail"/>
    <s v="P. Iyer"/>
    <x v="4"/>
  </r>
  <r>
    <s v="ORD00015"/>
    <x v="13"/>
    <s v="CHOC0041"/>
    <s v="Choco Fusion"/>
    <x v="1"/>
    <n v="14.38"/>
    <n v="1813"/>
    <n v="26070.94"/>
    <n v="2607.09"/>
    <n v="23463.85"/>
    <x v="1"/>
    <s v="Online"/>
    <s v="K. Patel"/>
    <x v="1"/>
  </r>
  <r>
    <s v="ORD00016"/>
    <x v="14"/>
    <s v="CHOC0161"/>
    <s v="Minty Magic"/>
    <x v="0"/>
    <n v="8.35"/>
    <n v="427"/>
    <n v="3565.45"/>
    <n v="178.27"/>
    <n v="3387.18"/>
    <x v="2"/>
    <s v="Online"/>
    <s v="K. Patel"/>
    <x v="2"/>
  </r>
  <r>
    <s v="ORD00017"/>
    <x v="15"/>
    <s v="CHOC0001"/>
    <s v="Choco Luxe"/>
    <x v="5"/>
    <n v="8.1"/>
    <n v="249"/>
    <n v="2016.9"/>
    <n v="201.69"/>
    <n v="1815.21"/>
    <x v="2"/>
    <s v="Online"/>
    <s v="A. Sharma"/>
    <x v="7"/>
  </r>
  <r>
    <s v="ORD00018"/>
    <x v="16"/>
    <s v="CHOC0146"/>
    <s v="Hazelnut Heaven"/>
    <x v="1"/>
    <n v="11.38"/>
    <n v="1691"/>
    <n v="19243.580000000002"/>
    <n v="0"/>
    <n v="19243.580000000002"/>
    <x v="1"/>
    <s v="Online"/>
    <s v="R. Mehta"/>
    <x v="3"/>
  </r>
  <r>
    <s v="ORD00019"/>
    <x v="17"/>
    <s v="CHOC0122"/>
    <s v="White Pearl"/>
    <x v="3"/>
    <n v="5.08"/>
    <n v="1806"/>
    <n v="9174.48"/>
    <n v="1376.17"/>
    <n v="7798.31"/>
    <x v="3"/>
    <s v="Online"/>
    <s v="M. Khan"/>
    <x v="8"/>
  </r>
  <r>
    <s v="ORD00020"/>
    <x v="18"/>
    <s v="CHOC0103"/>
    <s v="Silk Sensation"/>
    <x v="2"/>
    <n v="13.64"/>
    <n v="944"/>
    <n v="12876.16"/>
    <n v="0"/>
    <n v="12876.16"/>
    <x v="3"/>
    <s v="Online"/>
    <s v="A. Sharma"/>
    <x v="9"/>
  </r>
  <r>
    <s v="ORD00021"/>
    <x v="19"/>
    <s v="CHOC0006"/>
    <s v="Lava Bite"/>
    <x v="4"/>
    <n v="4.6100000000000003"/>
    <n v="471"/>
    <n v="2171.31"/>
    <n v="0"/>
    <n v="2171.31"/>
    <x v="0"/>
    <s v="Retail"/>
    <s v="R. Mehta"/>
    <x v="9"/>
  </r>
  <r>
    <s v="ORD00022"/>
    <x v="20"/>
    <s v="CHOC0009"/>
    <s v="Golden Nougat"/>
    <x v="1"/>
    <n v="8.44"/>
    <n v="590"/>
    <n v="4979.6000000000004"/>
    <n v="746.94"/>
    <n v="4232.66"/>
    <x v="3"/>
    <s v="Online"/>
    <s v="M. Khan"/>
    <x v="2"/>
  </r>
  <r>
    <s v="ORD00023"/>
    <x v="21"/>
    <s v="CHOC0148"/>
    <s v="Crispy Wafer"/>
    <x v="3"/>
    <n v="12.09"/>
    <n v="1673"/>
    <n v="20226.57"/>
    <n v="3033.99"/>
    <n v="17192.580000000002"/>
    <x v="3"/>
    <s v="Retail"/>
    <s v="A. Sharma"/>
    <x v="10"/>
  </r>
  <r>
    <s v="ORD00024"/>
    <x v="17"/>
    <s v="CHOC0111"/>
    <s v="Silk Sensation"/>
    <x v="2"/>
    <n v="7.05"/>
    <n v="1789"/>
    <n v="12612.45"/>
    <n v="0"/>
    <n v="12612.45"/>
    <x v="0"/>
    <s v="Retail"/>
    <s v="S. Nair"/>
    <x v="8"/>
  </r>
  <r>
    <s v="ORD00025"/>
    <x v="19"/>
    <s v="CHOC0028"/>
    <s v="Choco Supreme"/>
    <x v="3"/>
    <n v="4.07"/>
    <n v="938"/>
    <n v="3817.66"/>
    <n v="190.88"/>
    <n v="3626.78"/>
    <x v="4"/>
    <s v="Online"/>
    <s v="P. Iyer"/>
    <x v="9"/>
  </r>
  <r>
    <s v="ORD00026"/>
    <x v="22"/>
    <s v="CHOC0064"/>
    <s v="Hazelnut Heaven"/>
    <x v="2"/>
    <n v="12.41"/>
    <n v="1773"/>
    <n v="22002.93"/>
    <n v="0"/>
    <n v="22002.93"/>
    <x v="0"/>
    <s v="Retail"/>
    <s v="A. Sharma"/>
    <x v="1"/>
  </r>
  <r>
    <s v="ORD00027"/>
    <x v="23"/>
    <s v="CHOC0043"/>
    <s v="Royal Fudge"/>
    <x v="2"/>
    <n v="8"/>
    <n v="1790"/>
    <n v="14320"/>
    <n v="2148"/>
    <n v="12172"/>
    <x v="0"/>
    <s v="Online"/>
    <s v="S. Nair"/>
    <x v="3"/>
  </r>
  <r>
    <s v="ORD00028"/>
    <x v="24"/>
    <s v="CHOC0100"/>
    <s v="Berry Infusion"/>
    <x v="2"/>
    <n v="5.35"/>
    <n v="1446"/>
    <n v="7736.1"/>
    <n v="1160.4100000000001"/>
    <n v="6575.69"/>
    <x v="3"/>
    <s v="Online"/>
    <s v="P. Iyer"/>
    <x v="4"/>
  </r>
  <r>
    <s v="ORD00029"/>
    <x v="25"/>
    <s v="CHOC0015"/>
    <s v="Lava Bite"/>
    <x v="0"/>
    <n v="8.82"/>
    <n v="1551"/>
    <n v="13679.82"/>
    <n v="1367.98"/>
    <n v="12311.84"/>
    <x v="0"/>
    <s v="Retail"/>
    <s v="K. Patel"/>
    <x v="11"/>
  </r>
  <r>
    <s v="ORD00030"/>
    <x v="26"/>
    <s v="CHOC0129"/>
    <s v="Mocha Dream"/>
    <x v="3"/>
    <n v="2.27"/>
    <n v="1060"/>
    <n v="2406.1999999999998"/>
    <n v="0"/>
    <n v="2406.1999999999998"/>
    <x v="3"/>
    <s v="Retail"/>
    <s v="K. Patel"/>
    <x v="7"/>
  </r>
  <r>
    <s v="ORD00031"/>
    <x v="20"/>
    <s v="CHOC0173"/>
    <s v="Choco Supreme"/>
    <x v="2"/>
    <n v="3.12"/>
    <n v="1843"/>
    <n v="5750.16"/>
    <n v="287.51"/>
    <n v="5462.65"/>
    <x v="1"/>
    <s v="Retail"/>
    <s v="K. Patel"/>
    <x v="2"/>
  </r>
  <r>
    <s v="ORD00032"/>
    <x v="27"/>
    <s v="CHOC0108"/>
    <s v="Lava Bite"/>
    <x v="4"/>
    <n v="8.56"/>
    <n v="1934"/>
    <n v="16555.04"/>
    <n v="1655.5"/>
    <n v="14899.54"/>
    <x v="3"/>
    <s v="Distributor"/>
    <s v="R. Mehta"/>
    <x v="2"/>
  </r>
  <r>
    <s v="ORD00033"/>
    <x v="28"/>
    <s v="CHOC0102"/>
    <s v="Almond Elegance"/>
    <x v="0"/>
    <n v="10.210000000000001"/>
    <n v="956"/>
    <n v="9760.76"/>
    <n v="976.08"/>
    <n v="8784.68"/>
    <x v="0"/>
    <s v="Retail"/>
    <s v="S. Nair"/>
    <x v="3"/>
  </r>
  <r>
    <s v="ORD00034"/>
    <x v="29"/>
    <s v="CHOC0145"/>
    <s v="Caramel Crunch"/>
    <x v="1"/>
    <n v="8.76"/>
    <n v="1056"/>
    <n v="9250.56"/>
    <n v="925.06"/>
    <n v="8325.5"/>
    <x v="3"/>
    <s v="Distributor"/>
    <s v="A. Sharma"/>
    <x v="0"/>
  </r>
  <r>
    <s v="ORD00035"/>
    <x v="7"/>
    <s v="CHOC0095"/>
    <s v="Minty Magic"/>
    <x v="3"/>
    <n v="7.42"/>
    <n v="1132"/>
    <n v="8399.44"/>
    <n v="839.94"/>
    <n v="7559.5"/>
    <x v="1"/>
    <s v="Retail"/>
    <s v="M. Khan"/>
    <x v="3"/>
  </r>
  <r>
    <s v="ORD00036"/>
    <x v="30"/>
    <s v="CHOC0077"/>
    <s v="Caramel Crunch"/>
    <x v="3"/>
    <n v="5.07"/>
    <n v="1842"/>
    <n v="9338.94"/>
    <n v="0"/>
    <n v="9338.94"/>
    <x v="1"/>
    <s v="Online"/>
    <s v="P. Iyer"/>
    <x v="10"/>
  </r>
  <r>
    <s v="ORD00037"/>
    <x v="31"/>
    <s v="CHOC0155"/>
    <s v="Velvet Truffle"/>
    <x v="0"/>
    <n v="6.13"/>
    <n v="1427"/>
    <n v="8747.51"/>
    <n v="874.75"/>
    <n v="7872.76"/>
    <x v="1"/>
    <s v="Supermarket"/>
    <s v="P. Iyer"/>
    <x v="3"/>
  </r>
  <r>
    <s v="ORD00038"/>
    <x v="32"/>
    <s v="CHOC0024"/>
    <s v="Royal Fudge"/>
    <x v="5"/>
    <n v="2.1"/>
    <n v="703"/>
    <n v="1476.3"/>
    <n v="73.81"/>
    <n v="1402.49"/>
    <x v="2"/>
    <s v="Online"/>
    <s v="M. Khan"/>
    <x v="4"/>
  </r>
  <r>
    <s v="ORD00039"/>
    <x v="33"/>
    <s v="CHOC0142"/>
    <s v="Royal Fudge"/>
    <x v="4"/>
    <n v="1.63"/>
    <n v="174"/>
    <n v="283.62"/>
    <n v="14.18"/>
    <n v="269.44"/>
    <x v="1"/>
    <s v="Retail"/>
    <s v="P. Iyer"/>
    <x v="1"/>
  </r>
  <r>
    <s v="ORD00040"/>
    <x v="34"/>
    <s v="CHOC0142"/>
    <s v="Almond Elegance"/>
    <x v="2"/>
    <n v="3.22"/>
    <n v="651"/>
    <n v="2096.2199999999998"/>
    <n v="209.62"/>
    <n v="1886.6"/>
    <x v="0"/>
    <s v="Distributor"/>
    <s v="R. Mehta"/>
    <x v="10"/>
  </r>
  <r>
    <s v="ORD00041"/>
    <x v="35"/>
    <s v="CHOC0064"/>
    <s v="Caramel Crunch"/>
    <x v="5"/>
    <n v="12.03"/>
    <n v="1830"/>
    <n v="22014.9"/>
    <n v="3302.24"/>
    <n v="18712.66"/>
    <x v="1"/>
    <s v="Online"/>
    <s v="R. Mehta"/>
    <x v="8"/>
  </r>
  <r>
    <s v="ORD00042"/>
    <x v="36"/>
    <s v="CHOC0046"/>
    <s v="Royal Fudge"/>
    <x v="1"/>
    <n v="3.92"/>
    <n v="1913"/>
    <n v="7498.96"/>
    <n v="749.9"/>
    <n v="6749.06"/>
    <x v="4"/>
    <s v="Online"/>
    <s v="P. Iyer"/>
    <x v="6"/>
  </r>
  <r>
    <s v="ORD00043"/>
    <x v="11"/>
    <s v="CHOC0180"/>
    <s v="Caramel Crunch"/>
    <x v="2"/>
    <n v="13.27"/>
    <n v="1778"/>
    <n v="23594.06"/>
    <n v="3539.11"/>
    <n v="20054.95"/>
    <x v="3"/>
    <s v="Online"/>
    <s v="S. Nair"/>
    <x v="6"/>
  </r>
  <r>
    <s v="ORD00044"/>
    <x v="37"/>
    <s v="CHOC0079"/>
    <s v="Choco Supreme"/>
    <x v="3"/>
    <n v="1.82"/>
    <n v="415"/>
    <n v="755.3"/>
    <n v="113.29"/>
    <n v="642.01"/>
    <x v="2"/>
    <s v="Distributor"/>
    <s v="A. Sharma"/>
    <x v="9"/>
  </r>
  <r>
    <s v="ORD00045"/>
    <x v="38"/>
    <s v="CHOC0090"/>
    <s v="Mocha Dream"/>
    <x v="2"/>
    <n v="10.67"/>
    <n v="1747"/>
    <n v="18640.490000000002"/>
    <n v="1864.05"/>
    <n v="16776.439999999999"/>
    <x v="0"/>
    <s v="Retail"/>
    <s v="P. Iyer"/>
    <x v="3"/>
  </r>
  <r>
    <s v="ORD00046"/>
    <x v="39"/>
    <s v="CHOC0149"/>
    <s v="Berry Infusion"/>
    <x v="1"/>
    <n v="2.96"/>
    <n v="909"/>
    <n v="2690.64"/>
    <n v="269.06"/>
    <n v="2421.58"/>
    <x v="2"/>
    <s v="Supermarket"/>
    <s v="K. Patel"/>
    <x v="11"/>
  </r>
  <r>
    <s v="ORD00047"/>
    <x v="40"/>
    <s v="CHOC0030"/>
    <s v="Classic Cocoa"/>
    <x v="4"/>
    <n v="4.07"/>
    <n v="110"/>
    <n v="447.7"/>
    <n v="67.16"/>
    <n v="380.54"/>
    <x v="0"/>
    <s v="Online"/>
    <s v="P. Iyer"/>
    <x v="7"/>
  </r>
  <r>
    <s v="ORD00048"/>
    <x v="41"/>
    <s v="CHOC0018"/>
    <s v="Golden Nougat"/>
    <x v="4"/>
    <n v="5.74"/>
    <n v="1756"/>
    <n v="10079.44"/>
    <n v="0"/>
    <n v="10079.44"/>
    <x v="2"/>
    <s v="Distributor"/>
    <s v="M. Khan"/>
    <x v="1"/>
  </r>
  <r>
    <s v="ORD00049"/>
    <x v="42"/>
    <s v="CHOC0084"/>
    <s v="Classic Cocoa"/>
    <x v="0"/>
    <n v="5.49"/>
    <n v="280"/>
    <n v="1537.2"/>
    <n v="76.86"/>
    <n v="1460.34"/>
    <x v="4"/>
    <s v="Supermarket"/>
    <s v="M. Khan"/>
    <x v="5"/>
  </r>
  <r>
    <s v="ORD00050"/>
    <x v="43"/>
    <s v="CHOC0158"/>
    <s v="Lava Bite"/>
    <x v="5"/>
    <n v="6.98"/>
    <n v="1727"/>
    <n v="12054.46"/>
    <n v="0"/>
    <n v="12054.46"/>
    <x v="2"/>
    <s v="Distributor"/>
    <s v="R. Mehta"/>
    <x v="6"/>
  </r>
  <r>
    <s v="ORD00051"/>
    <x v="41"/>
    <s v="CHOC0149"/>
    <s v="Choco Luxe"/>
    <x v="0"/>
    <n v="5.85"/>
    <n v="924"/>
    <n v="5405.4"/>
    <n v="810.81"/>
    <n v="4594.59"/>
    <x v="3"/>
    <s v="Supermarket"/>
    <s v="M. Khan"/>
    <x v="1"/>
  </r>
  <r>
    <s v="ORD00052"/>
    <x v="44"/>
    <s v="CHOC0169"/>
    <s v="Hazelnut Heaven"/>
    <x v="5"/>
    <n v="8.4600000000000009"/>
    <n v="1316"/>
    <n v="11133.36"/>
    <n v="1113.3399999999999"/>
    <n v="10020.02"/>
    <x v="0"/>
    <s v="Online"/>
    <s v="M. Khan"/>
    <x v="6"/>
  </r>
  <r>
    <s v="ORD00053"/>
    <x v="45"/>
    <s v="CHOC0058"/>
    <s v="Velvet Truffle"/>
    <x v="3"/>
    <n v="1.83"/>
    <n v="521"/>
    <n v="953.43"/>
    <n v="143.01"/>
    <n v="810.42"/>
    <x v="1"/>
    <s v="Retail"/>
    <s v="S. Nair"/>
    <x v="9"/>
  </r>
  <r>
    <s v="ORD00054"/>
    <x v="46"/>
    <s v="CHOC0162"/>
    <s v="Lava Bite"/>
    <x v="3"/>
    <n v="11.2"/>
    <n v="806"/>
    <n v="9027.2000000000007"/>
    <n v="1354.08"/>
    <n v="7673.12"/>
    <x v="4"/>
    <s v="Online"/>
    <s v="R. Mehta"/>
    <x v="1"/>
  </r>
  <r>
    <s v="ORD00055"/>
    <x v="47"/>
    <s v="CHOC0177"/>
    <s v="Dark Delight"/>
    <x v="1"/>
    <n v="12.01"/>
    <n v="468"/>
    <n v="5620.68"/>
    <n v="281.02999999999997"/>
    <n v="5339.65"/>
    <x v="1"/>
    <s v="Supermarket"/>
    <s v="A. Sharma"/>
    <x v="8"/>
  </r>
  <r>
    <s v="ORD00056"/>
    <x v="48"/>
    <s v="CHOC0064"/>
    <s v="Caramel Crunch"/>
    <x v="2"/>
    <n v="3.3"/>
    <n v="971"/>
    <n v="3204.3"/>
    <n v="320.43"/>
    <n v="2883.87"/>
    <x v="4"/>
    <s v="Supermarket"/>
    <s v="K. Patel"/>
    <x v="10"/>
  </r>
  <r>
    <s v="ORD00057"/>
    <x v="49"/>
    <s v="CHOC0041"/>
    <s v="Crispy Wafer"/>
    <x v="2"/>
    <n v="5"/>
    <n v="526"/>
    <n v="2630"/>
    <n v="263"/>
    <n v="2367"/>
    <x v="1"/>
    <s v="Supermarket"/>
    <s v="M. Khan"/>
    <x v="1"/>
  </r>
  <r>
    <s v="ORD00058"/>
    <x v="50"/>
    <s v="CHOC0071"/>
    <s v="Choco Fusion"/>
    <x v="1"/>
    <n v="11.13"/>
    <n v="500"/>
    <n v="5565"/>
    <n v="556.5"/>
    <n v="5008.5"/>
    <x v="2"/>
    <s v="Distributor"/>
    <s v="K. Patel"/>
    <x v="3"/>
  </r>
  <r>
    <s v="ORD00059"/>
    <x v="27"/>
    <s v="CHOC0036"/>
    <s v="Almond Elegance"/>
    <x v="3"/>
    <n v="6.67"/>
    <n v="332"/>
    <n v="2214.44"/>
    <n v="110.72"/>
    <n v="2103.7199999999998"/>
    <x v="0"/>
    <s v="Supermarket"/>
    <s v="S. Nair"/>
    <x v="2"/>
  </r>
  <r>
    <s v="ORD00060"/>
    <x v="51"/>
    <s v="CHOC0139"/>
    <s v="Choco Fusion"/>
    <x v="2"/>
    <n v="2.34"/>
    <n v="1725"/>
    <n v="4036.5"/>
    <n v="605.48"/>
    <n v="3431.02"/>
    <x v="4"/>
    <s v="Retail"/>
    <s v="K. Patel"/>
    <x v="9"/>
  </r>
  <r>
    <s v="ORD00061"/>
    <x v="52"/>
    <s v="CHOC0123"/>
    <s v="Dark Delight"/>
    <x v="5"/>
    <n v="5.53"/>
    <n v="818"/>
    <n v="4523.54"/>
    <n v="678.53"/>
    <n v="3845.01"/>
    <x v="1"/>
    <s v="Online"/>
    <s v="S. Nair"/>
    <x v="5"/>
  </r>
  <r>
    <s v="ORD00062"/>
    <x v="53"/>
    <s v="CHOC0070"/>
    <s v="Royal Fudge"/>
    <x v="2"/>
    <n v="1.89"/>
    <n v="708"/>
    <n v="1338.12"/>
    <n v="200.72"/>
    <n v="1137.4000000000001"/>
    <x v="3"/>
    <s v="Supermarket"/>
    <s v="R. Mehta"/>
    <x v="11"/>
  </r>
  <r>
    <s v="ORD00063"/>
    <x v="29"/>
    <s v="CHOC0137"/>
    <s v="Dark Delight"/>
    <x v="2"/>
    <n v="9.49"/>
    <n v="1377"/>
    <n v="13067.73"/>
    <n v="0"/>
    <n v="13067.73"/>
    <x v="0"/>
    <s v="Supermarket"/>
    <s v="R. Mehta"/>
    <x v="0"/>
  </r>
  <r>
    <s v="ORD00064"/>
    <x v="22"/>
    <s v="CHOC0047"/>
    <s v="Milk Bliss"/>
    <x v="5"/>
    <n v="6.62"/>
    <n v="453"/>
    <n v="2998.86"/>
    <n v="449.83"/>
    <n v="2549.0300000000002"/>
    <x v="2"/>
    <s v="Distributor"/>
    <s v="S. Nair"/>
    <x v="1"/>
  </r>
  <r>
    <s v="ORD00065"/>
    <x v="38"/>
    <s v="CHOC0193"/>
    <s v="Royal Fudge"/>
    <x v="5"/>
    <n v="12.77"/>
    <n v="983"/>
    <n v="12552.91"/>
    <n v="0"/>
    <n v="12552.91"/>
    <x v="1"/>
    <s v="Retail"/>
    <s v="P. Iyer"/>
    <x v="3"/>
  </r>
  <r>
    <s v="ORD00066"/>
    <x v="54"/>
    <s v="CHOC0167"/>
    <s v="Hazelnut Heaven"/>
    <x v="0"/>
    <n v="2.04"/>
    <n v="83"/>
    <n v="169.32"/>
    <n v="8.4700000000000006"/>
    <n v="160.85"/>
    <x v="3"/>
    <s v="Retail"/>
    <s v="K. Patel"/>
    <x v="11"/>
  </r>
  <r>
    <s v="ORD00067"/>
    <x v="55"/>
    <s v="CHOC0062"/>
    <s v="Almond Elegance"/>
    <x v="2"/>
    <n v="10.54"/>
    <n v="1175"/>
    <n v="12384.5"/>
    <n v="619.23"/>
    <n v="11765.27"/>
    <x v="4"/>
    <s v="Distributor"/>
    <s v="P. Iyer"/>
    <x v="6"/>
  </r>
  <r>
    <s v="ORD00068"/>
    <x v="56"/>
    <s v="CHOC0156"/>
    <s v="Choco Luxe"/>
    <x v="0"/>
    <n v="11.2"/>
    <n v="1612"/>
    <n v="18054.400000000001"/>
    <n v="902.72"/>
    <n v="17151.68"/>
    <x v="2"/>
    <s v="Retail"/>
    <s v="K. Patel"/>
    <x v="6"/>
  </r>
  <r>
    <s v="ORD00069"/>
    <x v="57"/>
    <s v="CHOC0080"/>
    <s v="Lava Bite"/>
    <x v="0"/>
    <n v="13.76"/>
    <n v="788"/>
    <n v="10842.88"/>
    <n v="1626.43"/>
    <n v="9216.4500000000007"/>
    <x v="3"/>
    <s v="Retail"/>
    <s v="K. Patel"/>
    <x v="4"/>
  </r>
  <r>
    <s v="ORD00070"/>
    <x v="58"/>
    <s v="CHOC0161"/>
    <s v="Choco Supreme"/>
    <x v="1"/>
    <n v="10.91"/>
    <n v="637"/>
    <n v="6949.67"/>
    <n v="0"/>
    <n v="6949.67"/>
    <x v="1"/>
    <s v="Retail"/>
    <s v="P. Iyer"/>
    <x v="8"/>
  </r>
  <r>
    <s v="ORD00071"/>
    <x v="59"/>
    <s v="CHOC0110"/>
    <s v="Silk Sensation"/>
    <x v="1"/>
    <n v="8.33"/>
    <n v="718"/>
    <n v="5980.94"/>
    <n v="0"/>
    <n v="5980.94"/>
    <x v="4"/>
    <s v="Supermarket"/>
    <s v="A. Sharma"/>
    <x v="7"/>
  </r>
  <r>
    <s v="ORD00072"/>
    <x v="60"/>
    <s v="CHOC0093"/>
    <s v="Choco Fusion"/>
    <x v="0"/>
    <n v="3.57"/>
    <n v="380"/>
    <n v="1356.6"/>
    <n v="135.66"/>
    <n v="1220.94"/>
    <x v="1"/>
    <s v="Supermarket"/>
    <s v="S. Nair"/>
    <x v="1"/>
  </r>
  <r>
    <s v="ORD00073"/>
    <x v="61"/>
    <s v="CHOC0188"/>
    <s v="Lava Bite"/>
    <x v="5"/>
    <n v="5.85"/>
    <n v="522"/>
    <n v="3053.7"/>
    <n v="0"/>
    <n v="3053.7"/>
    <x v="2"/>
    <s v="Supermarket"/>
    <s v="R. Mehta"/>
    <x v="1"/>
  </r>
  <r>
    <s v="ORD00074"/>
    <x v="62"/>
    <s v="CHOC0146"/>
    <s v="Choco Luxe"/>
    <x v="0"/>
    <n v="6.62"/>
    <n v="78"/>
    <n v="516.36"/>
    <n v="77.45"/>
    <n v="438.91"/>
    <x v="2"/>
    <s v="Online"/>
    <s v="S. Nair"/>
    <x v="1"/>
  </r>
  <r>
    <s v="ORD00075"/>
    <x v="63"/>
    <s v="CHOC0091"/>
    <s v="Berry Infusion"/>
    <x v="5"/>
    <n v="5.28"/>
    <n v="1240"/>
    <n v="6547.2"/>
    <n v="654.72"/>
    <n v="5892.48"/>
    <x v="1"/>
    <s v="Retail"/>
    <s v="K. Patel"/>
    <x v="11"/>
  </r>
  <r>
    <s v="ORD00076"/>
    <x v="64"/>
    <s v="CHOC0022"/>
    <s v="Choco Supreme"/>
    <x v="0"/>
    <n v="6.99"/>
    <n v="1157"/>
    <n v="8087.43"/>
    <n v="404.37"/>
    <n v="7683.06"/>
    <x v="4"/>
    <s v="Supermarket"/>
    <s v="S. Nair"/>
    <x v="11"/>
  </r>
  <r>
    <s v="ORD00077"/>
    <x v="65"/>
    <s v="CHOC0024"/>
    <s v="Minty Magic"/>
    <x v="3"/>
    <n v="6.96"/>
    <n v="518"/>
    <n v="3605.28"/>
    <n v="360.53"/>
    <n v="3244.75"/>
    <x v="1"/>
    <s v="Distributor"/>
    <s v="S. Nair"/>
    <x v="4"/>
  </r>
  <r>
    <s v="ORD00078"/>
    <x v="30"/>
    <s v="CHOC0136"/>
    <s v="Silk Sensation"/>
    <x v="2"/>
    <n v="14.95"/>
    <n v="1147"/>
    <n v="17147.650000000001"/>
    <n v="1714.77"/>
    <n v="15432.88"/>
    <x v="2"/>
    <s v="Supermarket"/>
    <s v="P. Iyer"/>
    <x v="10"/>
  </r>
  <r>
    <s v="ORD00079"/>
    <x v="66"/>
    <s v="CHOC0065"/>
    <s v="Choco Supreme"/>
    <x v="1"/>
    <n v="11.24"/>
    <n v="666"/>
    <n v="7485.84"/>
    <n v="0"/>
    <n v="7485.84"/>
    <x v="1"/>
    <s v="Online"/>
    <s v="R. Mehta"/>
    <x v="9"/>
  </r>
  <r>
    <s v="ORD00080"/>
    <x v="67"/>
    <s v="CHOC0190"/>
    <s v="Crispy Wafer"/>
    <x v="5"/>
    <n v="11.28"/>
    <n v="1576"/>
    <n v="17777.28"/>
    <n v="1777.73"/>
    <n v="15999.55"/>
    <x v="0"/>
    <s v="Online"/>
    <s v="P. Iyer"/>
    <x v="11"/>
  </r>
  <r>
    <s v="ORD00081"/>
    <x v="68"/>
    <s v="CHOC0093"/>
    <s v="Cocoa Royale"/>
    <x v="5"/>
    <n v="1.69"/>
    <n v="1113"/>
    <n v="1880.97"/>
    <n v="94.05"/>
    <n v="1786.92"/>
    <x v="2"/>
    <s v="Retail"/>
    <s v="A. Sharma"/>
    <x v="11"/>
  </r>
  <r>
    <s v="ORD00082"/>
    <x v="30"/>
    <s v="CHOC0075"/>
    <s v="Almond Elegance"/>
    <x v="0"/>
    <n v="13.22"/>
    <n v="1025"/>
    <n v="13550.5"/>
    <n v="0"/>
    <n v="13550.5"/>
    <x v="0"/>
    <s v="Distributor"/>
    <s v="S. Nair"/>
    <x v="10"/>
  </r>
  <r>
    <s v="ORD00083"/>
    <x v="69"/>
    <s v="CHOC0113"/>
    <s v="Golden Nougat"/>
    <x v="3"/>
    <n v="14.53"/>
    <n v="537"/>
    <n v="7802.61"/>
    <n v="1170.3900000000001"/>
    <n v="6632.22"/>
    <x v="0"/>
    <s v="Retail"/>
    <s v="S. Nair"/>
    <x v="7"/>
  </r>
  <r>
    <s v="ORD00084"/>
    <x v="70"/>
    <s v="CHOC0019"/>
    <s v="Lava Bite"/>
    <x v="0"/>
    <n v="10.77"/>
    <n v="330"/>
    <n v="3554.1"/>
    <n v="177.71"/>
    <n v="3376.39"/>
    <x v="1"/>
    <s v="Distributor"/>
    <s v="A. Sharma"/>
    <x v="7"/>
  </r>
  <r>
    <s v="ORD00085"/>
    <x v="71"/>
    <s v="CHOC0031"/>
    <s v="White Pearl"/>
    <x v="2"/>
    <n v="9.69"/>
    <n v="1639"/>
    <n v="15881.91"/>
    <n v="794.1"/>
    <n v="15087.81"/>
    <x v="1"/>
    <s v="Supermarket"/>
    <s v="S. Nair"/>
    <x v="3"/>
  </r>
  <r>
    <s v="ORD00086"/>
    <x v="33"/>
    <s v="CHOC0077"/>
    <s v="Lava Bite"/>
    <x v="2"/>
    <n v="5.62"/>
    <n v="1291"/>
    <n v="7255.42"/>
    <n v="0"/>
    <n v="7255.42"/>
    <x v="1"/>
    <s v="Retail"/>
    <s v="R. Mehta"/>
    <x v="1"/>
  </r>
  <r>
    <s v="ORD00087"/>
    <x v="72"/>
    <s v="CHOC0055"/>
    <s v="Berry Infusion"/>
    <x v="0"/>
    <n v="2.6"/>
    <n v="511"/>
    <n v="1328.6"/>
    <n v="66.430000000000007"/>
    <n v="1262.17"/>
    <x v="1"/>
    <s v="Retail"/>
    <s v="R. Mehta"/>
    <x v="0"/>
  </r>
  <r>
    <s v="ORD00088"/>
    <x v="24"/>
    <s v="CHOC0105"/>
    <s v="Choco Fusion"/>
    <x v="0"/>
    <n v="9.52"/>
    <n v="616"/>
    <n v="5864.32"/>
    <n v="0"/>
    <n v="5864.32"/>
    <x v="3"/>
    <s v="Distributor"/>
    <s v="M. Khan"/>
    <x v="4"/>
  </r>
  <r>
    <s v="ORD00089"/>
    <x v="31"/>
    <s v="CHOC0180"/>
    <s v="Choco Fusion"/>
    <x v="1"/>
    <n v="10.78"/>
    <n v="1912"/>
    <n v="20611.36"/>
    <n v="2061.14"/>
    <n v="18550.22"/>
    <x v="1"/>
    <s v="Online"/>
    <s v="S. Nair"/>
    <x v="3"/>
  </r>
  <r>
    <s v="ORD00090"/>
    <x v="73"/>
    <s v="CHOC0140"/>
    <s v="Choco Supreme"/>
    <x v="0"/>
    <n v="3.51"/>
    <n v="564"/>
    <n v="1979.64"/>
    <n v="98.98"/>
    <n v="1880.66"/>
    <x v="0"/>
    <s v="Retail"/>
    <s v="R. Mehta"/>
    <x v="2"/>
  </r>
  <r>
    <s v="ORD00091"/>
    <x v="74"/>
    <s v="CHOC0153"/>
    <s v="Lava Bite"/>
    <x v="5"/>
    <n v="7.43"/>
    <n v="979"/>
    <n v="7273.97"/>
    <n v="727.4"/>
    <n v="6546.57"/>
    <x v="4"/>
    <s v="Distributor"/>
    <s v="K. Patel"/>
    <x v="9"/>
  </r>
  <r>
    <s v="ORD00092"/>
    <x v="75"/>
    <s v="CHOC0127"/>
    <s v="Choco Fusion"/>
    <x v="1"/>
    <n v="9.57"/>
    <n v="1841"/>
    <n v="17618.37"/>
    <n v="2642.76"/>
    <n v="14975.61"/>
    <x v="2"/>
    <s v="Distributor"/>
    <s v="A. Sharma"/>
    <x v="10"/>
  </r>
  <r>
    <s v="ORD00093"/>
    <x v="76"/>
    <s v="CHOC0059"/>
    <s v="Lava Bite"/>
    <x v="4"/>
    <n v="14.34"/>
    <n v="1586"/>
    <n v="22743.24"/>
    <n v="2274.3200000000002"/>
    <n v="20468.919999999998"/>
    <x v="1"/>
    <s v="Retail"/>
    <s v="R. Mehta"/>
    <x v="2"/>
  </r>
  <r>
    <s v="ORD00094"/>
    <x v="77"/>
    <s v="CHOC0133"/>
    <s v="Choco Fusion"/>
    <x v="5"/>
    <n v="3.95"/>
    <n v="1218"/>
    <n v="4811.1000000000004"/>
    <n v="721.67"/>
    <n v="4089.43"/>
    <x v="4"/>
    <s v="Retail"/>
    <s v="S. Nair"/>
    <x v="1"/>
  </r>
  <r>
    <s v="ORD00095"/>
    <x v="78"/>
    <s v="CHOC0105"/>
    <s v="Golden Nougat"/>
    <x v="5"/>
    <n v="10.55"/>
    <n v="1776"/>
    <n v="18736.8"/>
    <n v="936.84"/>
    <n v="17799.96"/>
    <x v="2"/>
    <s v="Supermarket"/>
    <s v="M. Khan"/>
    <x v="9"/>
  </r>
  <r>
    <s v="ORD00096"/>
    <x v="79"/>
    <s v="CHOC0074"/>
    <s v="Classic Cocoa"/>
    <x v="4"/>
    <n v="2"/>
    <n v="200"/>
    <n v="400"/>
    <n v="40"/>
    <n v="360"/>
    <x v="2"/>
    <s v="Distributor"/>
    <s v="A. Sharma"/>
    <x v="7"/>
  </r>
  <r>
    <s v="ORD00097"/>
    <x v="80"/>
    <s v="CHOC0132"/>
    <s v="Dark Delight"/>
    <x v="0"/>
    <n v="13.24"/>
    <n v="966"/>
    <n v="12789.84"/>
    <n v="1918.48"/>
    <n v="10871.36"/>
    <x v="0"/>
    <s v="Online"/>
    <s v="K. Patel"/>
    <x v="5"/>
  </r>
  <r>
    <s v="ORD00098"/>
    <x v="81"/>
    <s v="CHOC0160"/>
    <s v="Crispy Wafer"/>
    <x v="0"/>
    <n v="7.47"/>
    <n v="125"/>
    <n v="933.75"/>
    <n v="46.69"/>
    <n v="887.06"/>
    <x v="2"/>
    <s v="Online"/>
    <s v="P. Iyer"/>
    <x v="5"/>
  </r>
  <r>
    <s v="ORD00099"/>
    <x v="82"/>
    <s v="CHOC0179"/>
    <s v="Crispy Wafer"/>
    <x v="1"/>
    <n v="1.89"/>
    <n v="1310"/>
    <n v="2475.9"/>
    <n v="123.8"/>
    <n v="2352.1"/>
    <x v="3"/>
    <s v="Distributor"/>
    <s v="K. Patel"/>
    <x v="1"/>
  </r>
  <r>
    <s v="ORD00100"/>
    <x v="83"/>
    <s v="CHOC0142"/>
    <s v="Royal Fudge"/>
    <x v="1"/>
    <n v="4.53"/>
    <n v="1743"/>
    <n v="7895.79"/>
    <n v="0"/>
    <n v="7895.79"/>
    <x v="4"/>
    <s v="Retail"/>
    <s v="M. Khan"/>
    <x v="4"/>
  </r>
  <r>
    <s v="ORD00101"/>
    <x v="55"/>
    <s v="CHOC0128"/>
    <s v="Minty Magic"/>
    <x v="4"/>
    <n v="11.02"/>
    <n v="870"/>
    <n v="9587.4"/>
    <n v="1438.11"/>
    <n v="8149.29"/>
    <x v="4"/>
    <s v="Online"/>
    <s v="S. Nair"/>
    <x v="6"/>
  </r>
  <r>
    <s v="ORD00102"/>
    <x v="84"/>
    <s v="CHOC0038"/>
    <s v="Classic Cocoa"/>
    <x v="3"/>
    <n v="13.95"/>
    <n v="1060"/>
    <n v="14787"/>
    <n v="739.35"/>
    <n v="14047.65"/>
    <x v="0"/>
    <s v="Distributor"/>
    <s v="S. Nair"/>
    <x v="10"/>
  </r>
  <r>
    <s v="ORD00103"/>
    <x v="85"/>
    <s v="CHOC0130"/>
    <s v="Berry Infusion"/>
    <x v="1"/>
    <n v="5.32"/>
    <n v="631"/>
    <n v="3356.92"/>
    <n v="503.54"/>
    <n v="2853.38"/>
    <x v="3"/>
    <s v="Supermarket"/>
    <s v="K. Patel"/>
    <x v="9"/>
  </r>
  <r>
    <s v="ORD00104"/>
    <x v="86"/>
    <s v="CHOC0089"/>
    <s v="Golden Nougat"/>
    <x v="4"/>
    <n v="11.8"/>
    <n v="792"/>
    <n v="9345.6"/>
    <n v="1401.84"/>
    <n v="7943.76"/>
    <x v="2"/>
    <s v="Online"/>
    <s v="M. Khan"/>
    <x v="7"/>
  </r>
  <r>
    <s v="ORD00105"/>
    <x v="50"/>
    <s v="CHOC0147"/>
    <s v="Classic Cocoa"/>
    <x v="3"/>
    <n v="13.06"/>
    <n v="861"/>
    <n v="11244.66"/>
    <n v="0"/>
    <n v="11244.66"/>
    <x v="2"/>
    <s v="Supermarket"/>
    <s v="M. Khan"/>
    <x v="3"/>
  </r>
  <r>
    <s v="ORD00106"/>
    <x v="87"/>
    <s v="CHOC0099"/>
    <s v="Almond Elegance"/>
    <x v="2"/>
    <n v="14.53"/>
    <n v="278"/>
    <n v="4039.34"/>
    <n v="403.93"/>
    <n v="3635.41"/>
    <x v="0"/>
    <s v="Supermarket"/>
    <s v="A. Sharma"/>
    <x v="5"/>
  </r>
  <r>
    <s v="ORD00107"/>
    <x v="88"/>
    <s v="CHOC0117"/>
    <s v="Dark Delight"/>
    <x v="0"/>
    <n v="3.45"/>
    <n v="1803"/>
    <n v="6220.35"/>
    <n v="311.02"/>
    <n v="5909.33"/>
    <x v="0"/>
    <s v="Supermarket"/>
    <s v="P. Iyer"/>
    <x v="7"/>
  </r>
  <r>
    <s v="ORD00108"/>
    <x v="19"/>
    <s v="CHOC0160"/>
    <s v="Classic Cocoa"/>
    <x v="0"/>
    <n v="2.58"/>
    <n v="692"/>
    <n v="1785.36"/>
    <n v="267.8"/>
    <n v="1517.56"/>
    <x v="2"/>
    <s v="Supermarket"/>
    <s v="K. Patel"/>
    <x v="9"/>
  </r>
  <r>
    <s v="ORD00109"/>
    <x v="89"/>
    <s v="CHOC0159"/>
    <s v="Hazelnut Heaven"/>
    <x v="3"/>
    <n v="10.02"/>
    <n v="1906"/>
    <n v="19098.12"/>
    <n v="1909.81"/>
    <n v="17188.310000000001"/>
    <x v="3"/>
    <s v="Retail"/>
    <s v="S. Nair"/>
    <x v="4"/>
  </r>
  <r>
    <s v="ORD00110"/>
    <x v="90"/>
    <s v="CHOC0195"/>
    <s v="Caramel Crunch"/>
    <x v="2"/>
    <n v="3.75"/>
    <n v="633"/>
    <n v="2373.75"/>
    <n v="0"/>
    <n v="2373.75"/>
    <x v="0"/>
    <s v="Distributor"/>
    <s v="A. Sharma"/>
    <x v="2"/>
  </r>
  <r>
    <s v="ORD00111"/>
    <x v="91"/>
    <s v="CHOC0092"/>
    <s v="Silk Sensation"/>
    <x v="2"/>
    <n v="3.47"/>
    <n v="1107"/>
    <n v="3841.29"/>
    <n v="576.19000000000005"/>
    <n v="3265.1"/>
    <x v="1"/>
    <s v="Online"/>
    <s v="R. Mehta"/>
    <x v="3"/>
  </r>
  <r>
    <s v="ORD00112"/>
    <x v="43"/>
    <s v="CHOC0021"/>
    <s v="Choco Luxe"/>
    <x v="2"/>
    <n v="9.8699999999999992"/>
    <n v="513"/>
    <n v="5063.3100000000004"/>
    <n v="759.5"/>
    <n v="4303.8100000000004"/>
    <x v="1"/>
    <s v="Online"/>
    <s v="R. Mehta"/>
    <x v="6"/>
  </r>
  <r>
    <s v="ORD00113"/>
    <x v="22"/>
    <s v="CHOC0164"/>
    <s v="Berry Infusion"/>
    <x v="2"/>
    <n v="4.95"/>
    <n v="39"/>
    <n v="193.05"/>
    <n v="28.96"/>
    <n v="164.09"/>
    <x v="2"/>
    <s v="Online"/>
    <s v="A. Sharma"/>
    <x v="1"/>
  </r>
  <r>
    <s v="ORD00114"/>
    <x v="33"/>
    <s v="CHOC0089"/>
    <s v="Lava Bite"/>
    <x v="5"/>
    <n v="10.130000000000001"/>
    <n v="888"/>
    <n v="8995.44"/>
    <n v="899.54"/>
    <n v="8095.9"/>
    <x v="4"/>
    <s v="Distributor"/>
    <s v="R. Mehta"/>
    <x v="1"/>
  </r>
  <r>
    <s v="ORD00115"/>
    <x v="92"/>
    <s v="CHOC0124"/>
    <s v="Caramel Crunch"/>
    <x v="3"/>
    <n v="6.65"/>
    <n v="755"/>
    <n v="5020.75"/>
    <n v="502.08"/>
    <n v="4518.67"/>
    <x v="2"/>
    <s v="Retail"/>
    <s v="M. Khan"/>
    <x v="5"/>
  </r>
  <r>
    <s v="ORD00116"/>
    <x v="93"/>
    <s v="CHOC0071"/>
    <s v="Dark Delight"/>
    <x v="4"/>
    <n v="13.18"/>
    <n v="1613"/>
    <n v="21259.34"/>
    <n v="0"/>
    <n v="21259.34"/>
    <x v="1"/>
    <s v="Supermarket"/>
    <s v="P. Iyer"/>
    <x v="5"/>
  </r>
  <r>
    <s v="ORD00117"/>
    <x v="94"/>
    <s v="CHOC0156"/>
    <s v="Silk Sensation"/>
    <x v="3"/>
    <n v="10.09"/>
    <n v="1291"/>
    <n v="13026.19"/>
    <n v="1302.6199999999999"/>
    <n v="11723.57"/>
    <x v="3"/>
    <s v="Retail"/>
    <s v="M. Khan"/>
    <x v="11"/>
  </r>
  <r>
    <s v="ORD00118"/>
    <x v="95"/>
    <s v="CHOC0011"/>
    <s v="Minty Magic"/>
    <x v="2"/>
    <n v="1.95"/>
    <n v="767"/>
    <n v="1495.65"/>
    <n v="74.78"/>
    <n v="1420.87"/>
    <x v="0"/>
    <s v="Distributor"/>
    <s v="P. Iyer"/>
    <x v="0"/>
  </r>
  <r>
    <s v="ORD00119"/>
    <x v="46"/>
    <s v="CHOC0045"/>
    <s v="Velvet Truffle"/>
    <x v="3"/>
    <n v="12.12"/>
    <n v="1814"/>
    <n v="21985.68"/>
    <n v="2198.5700000000002"/>
    <n v="19787.11"/>
    <x v="1"/>
    <s v="Distributor"/>
    <s v="R. Mehta"/>
    <x v="1"/>
  </r>
  <r>
    <s v="ORD00120"/>
    <x v="96"/>
    <s v="CHOC0124"/>
    <s v="Minty Magic"/>
    <x v="0"/>
    <n v="13.25"/>
    <n v="1667"/>
    <n v="22087.75"/>
    <n v="0"/>
    <n v="22087.75"/>
    <x v="4"/>
    <s v="Retail"/>
    <s v="R. Mehta"/>
    <x v="3"/>
  </r>
  <r>
    <s v="ORD00121"/>
    <x v="97"/>
    <s v="CHOC0174"/>
    <s v="Classic Cocoa"/>
    <x v="4"/>
    <n v="6.44"/>
    <n v="1639"/>
    <n v="10555.16"/>
    <n v="1583.27"/>
    <n v="8971.89"/>
    <x v="0"/>
    <s v="Distributor"/>
    <s v="K. Patel"/>
    <x v="11"/>
  </r>
  <r>
    <s v="ORD00122"/>
    <x v="98"/>
    <s v="CHOC0117"/>
    <s v="Silk Sensation"/>
    <x v="0"/>
    <n v="11.61"/>
    <n v="556"/>
    <n v="6455.16"/>
    <n v="968.27"/>
    <n v="5486.89"/>
    <x v="2"/>
    <s v="Retail"/>
    <s v="M. Khan"/>
    <x v="6"/>
  </r>
  <r>
    <s v="ORD00123"/>
    <x v="99"/>
    <s v="CHOC0121"/>
    <s v="Dark Delight"/>
    <x v="4"/>
    <n v="13.44"/>
    <n v="1169"/>
    <n v="15711.36"/>
    <n v="1571.14"/>
    <n v="14140.22"/>
    <x v="1"/>
    <s v="Online"/>
    <s v="M. Khan"/>
    <x v="11"/>
  </r>
  <r>
    <s v="ORD00124"/>
    <x v="100"/>
    <s v="CHOC0163"/>
    <s v="Choco Fusion"/>
    <x v="0"/>
    <n v="5.58"/>
    <n v="856"/>
    <n v="4776.4799999999996"/>
    <n v="0"/>
    <n v="4776.4799999999996"/>
    <x v="3"/>
    <s v="Retail"/>
    <s v="A. Sharma"/>
    <x v="2"/>
  </r>
  <r>
    <s v="ORD00125"/>
    <x v="101"/>
    <s v="CHOC0127"/>
    <s v="Caramel Crunch"/>
    <x v="1"/>
    <n v="4.67"/>
    <n v="1120"/>
    <n v="5230.3999999999996"/>
    <n v="261.52"/>
    <n v="4968.88"/>
    <x v="4"/>
    <s v="Supermarket"/>
    <s v="P. Iyer"/>
    <x v="9"/>
  </r>
  <r>
    <s v="ORD00126"/>
    <x v="102"/>
    <s v="CHOC0191"/>
    <s v="White Pearl"/>
    <x v="2"/>
    <n v="9.43"/>
    <n v="1508"/>
    <n v="14220.44"/>
    <n v="711.02"/>
    <n v="13509.42"/>
    <x v="4"/>
    <s v="Retail"/>
    <s v="S. Nair"/>
    <x v="8"/>
  </r>
  <r>
    <s v="ORD00127"/>
    <x v="103"/>
    <s v="CHOC0105"/>
    <s v="Berry Infusion"/>
    <x v="1"/>
    <n v="10.82"/>
    <n v="464"/>
    <n v="5020.4799999999996"/>
    <n v="753.07"/>
    <n v="4267.41"/>
    <x v="4"/>
    <s v="Online"/>
    <s v="P. Iyer"/>
    <x v="0"/>
  </r>
  <r>
    <s v="ORD00128"/>
    <x v="90"/>
    <s v="CHOC0176"/>
    <s v="Silk Sensation"/>
    <x v="4"/>
    <n v="13.67"/>
    <n v="1340"/>
    <n v="18317.8"/>
    <n v="1831.78"/>
    <n v="16486.02"/>
    <x v="0"/>
    <s v="Supermarket"/>
    <s v="P. Iyer"/>
    <x v="2"/>
  </r>
  <r>
    <s v="ORD00129"/>
    <x v="64"/>
    <s v="CHOC0032"/>
    <s v="Choco Fusion"/>
    <x v="1"/>
    <n v="10.45"/>
    <n v="1334"/>
    <n v="13940.3"/>
    <n v="0"/>
    <n v="13940.3"/>
    <x v="0"/>
    <s v="Distributor"/>
    <s v="R. Mehta"/>
    <x v="11"/>
  </r>
  <r>
    <s v="ORD00130"/>
    <x v="104"/>
    <s v="CHOC0145"/>
    <s v="Velvet Truffle"/>
    <x v="1"/>
    <n v="12.7"/>
    <n v="1155"/>
    <n v="14668.5"/>
    <n v="733.43"/>
    <n v="13935.07"/>
    <x v="1"/>
    <s v="Online"/>
    <s v="R. Mehta"/>
    <x v="6"/>
  </r>
  <r>
    <s v="ORD00131"/>
    <x v="105"/>
    <s v="CHOC0199"/>
    <s v="Almond Elegance"/>
    <x v="4"/>
    <n v="1.54"/>
    <n v="1778"/>
    <n v="2738.12"/>
    <n v="136.91"/>
    <n v="2601.21"/>
    <x v="3"/>
    <s v="Distributor"/>
    <s v="R. Mehta"/>
    <x v="9"/>
  </r>
  <r>
    <s v="ORD00132"/>
    <x v="106"/>
    <s v="CHOC0170"/>
    <s v="Dark Delight"/>
    <x v="3"/>
    <n v="1.7"/>
    <n v="1637"/>
    <n v="2782.9"/>
    <n v="139.15"/>
    <n v="2643.75"/>
    <x v="1"/>
    <s v="Distributor"/>
    <s v="A. Sharma"/>
    <x v="2"/>
  </r>
  <r>
    <s v="ORD00133"/>
    <x v="43"/>
    <s v="CHOC0068"/>
    <s v="Milk Bliss"/>
    <x v="3"/>
    <n v="11.51"/>
    <n v="1097"/>
    <n v="12626.47"/>
    <n v="0"/>
    <n v="12626.47"/>
    <x v="0"/>
    <s v="Supermarket"/>
    <s v="S. Nair"/>
    <x v="6"/>
  </r>
  <r>
    <s v="ORD00134"/>
    <x v="81"/>
    <s v="CHOC0132"/>
    <s v="Lava Bite"/>
    <x v="1"/>
    <n v="7.6"/>
    <n v="473"/>
    <n v="3594.8"/>
    <n v="0"/>
    <n v="3594.8"/>
    <x v="1"/>
    <s v="Distributor"/>
    <s v="S. Nair"/>
    <x v="5"/>
  </r>
  <r>
    <s v="ORD00135"/>
    <x v="9"/>
    <s v="CHOC0008"/>
    <s v="Milk Bliss"/>
    <x v="2"/>
    <n v="12.94"/>
    <n v="893"/>
    <n v="11555.42"/>
    <n v="0"/>
    <n v="11555.42"/>
    <x v="4"/>
    <s v="Supermarket"/>
    <s v="A. Sharma"/>
    <x v="0"/>
  </r>
  <r>
    <s v="ORD00136"/>
    <x v="27"/>
    <s v="CHOC0083"/>
    <s v="Choco Luxe"/>
    <x v="3"/>
    <n v="2.39"/>
    <n v="583"/>
    <n v="1393.37"/>
    <n v="139.34"/>
    <n v="1254.03"/>
    <x v="4"/>
    <s v="Distributor"/>
    <s v="S. Nair"/>
    <x v="2"/>
  </r>
  <r>
    <s v="ORD00137"/>
    <x v="107"/>
    <s v="CHOC0155"/>
    <s v="Royal Fudge"/>
    <x v="1"/>
    <n v="12.21"/>
    <n v="254"/>
    <n v="3101.34"/>
    <n v="155.07"/>
    <n v="2946.27"/>
    <x v="4"/>
    <s v="Supermarket"/>
    <s v="R. Mehta"/>
    <x v="7"/>
  </r>
  <r>
    <s v="ORD00138"/>
    <x v="108"/>
    <s v="CHOC0087"/>
    <s v="Choco Fusion"/>
    <x v="2"/>
    <n v="7.12"/>
    <n v="214"/>
    <n v="1523.68"/>
    <n v="152.37"/>
    <n v="1371.31"/>
    <x v="4"/>
    <s v="Distributor"/>
    <s v="M. Khan"/>
    <x v="5"/>
  </r>
  <r>
    <s v="ORD00139"/>
    <x v="109"/>
    <s v="CHOC0096"/>
    <s v="Almond Elegance"/>
    <x v="0"/>
    <n v="13.96"/>
    <n v="157"/>
    <n v="2191.7199999999998"/>
    <n v="0"/>
    <n v="2191.7199999999998"/>
    <x v="0"/>
    <s v="Retail"/>
    <s v="S. Nair"/>
    <x v="3"/>
  </r>
  <r>
    <s v="ORD00140"/>
    <x v="3"/>
    <s v="CHOC0191"/>
    <s v="Silk Sensation"/>
    <x v="3"/>
    <n v="9.01"/>
    <n v="1221"/>
    <n v="11001.21"/>
    <n v="1100.1199999999999"/>
    <n v="9901.09"/>
    <x v="0"/>
    <s v="Supermarket"/>
    <s v="P. Iyer"/>
    <x v="2"/>
  </r>
  <r>
    <s v="ORD00141"/>
    <x v="110"/>
    <s v="CHOC0193"/>
    <s v="Royal Fudge"/>
    <x v="0"/>
    <n v="2.19"/>
    <n v="609"/>
    <n v="1333.71"/>
    <n v="133.37"/>
    <n v="1200.3399999999999"/>
    <x v="2"/>
    <s v="Retail"/>
    <s v="K. Patel"/>
    <x v="8"/>
  </r>
  <r>
    <s v="ORD00142"/>
    <x v="111"/>
    <s v="CHOC0055"/>
    <s v="Almond Elegance"/>
    <x v="0"/>
    <n v="8.01"/>
    <n v="1755"/>
    <n v="14057.55"/>
    <n v="0"/>
    <n v="14057.55"/>
    <x v="2"/>
    <s v="Distributor"/>
    <s v="A. Sharma"/>
    <x v="7"/>
  </r>
  <r>
    <s v="ORD00143"/>
    <x v="38"/>
    <s v="CHOC0147"/>
    <s v="Choco Supreme"/>
    <x v="2"/>
    <n v="12.91"/>
    <n v="1591"/>
    <n v="20539.810000000001"/>
    <n v="0"/>
    <n v="20539.810000000001"/>
    <x v="1"/>
    <s v="Distributor"/>
    <s v="A. Sharma"/>
    <x v="3"/>
  </r>
  <r>
    <s v="ORD00144"/>
    <x v="112"/>
    <s v="CHOC0070"/>
    <s v="Minty Magic"/>
    <x v="5"/>
    <n v="6.24"/>
    <n v="391"/>
    <n v="2439.84"/>
    <n v="121.99"/>
    <n v="2317.85"/>
    <x v="1"/>
    <s v="Supermarket"/>
    <s v="A. Sharma"/>
    <x v="11"/>
  </r>
  <r>
    <s v="ORD00145"/>
    <x v="113"/>
    <s v="CHOC0190"/>
    <s v="Dark Delight"/>
    <x v="1"/>
    <n v="11.57"/>
    <n v="460"/>
    <n v="5322.2"/>
    <n v="798.33"/>
    <n v="4523.87"/>
    <x v="4"/>
    <s v="Supermarket"/>
    <s v="P. Iyer"/>
    <x v="6"/>
  </r>
  <r>
    <s v="ORD00146"/>
    <x v="114"/>
    <s v="CHOC0095"/>
    <s v="Minty Magic"/>
    <x v="0"/>
    <n v="5.88"/>
    <n v="1948"/>
    <n v="11454.24"/>
    <n v="0"/>
    <n v="11454.24"/>
    <x v="0"/>
    <s v="Online"/>
    <s v="R. Mehta"/>
    <x v="6"/>
  </r>
  <r>
    <s v="ORD00147"/>
    <x v="115"/>
    <s v="CHOC0013"/>
    <s v="Hazelnut Heaven"/>
    <x v="5"/>
    <n v="7.48"/>
    <n v="888"/>
    <n v="6642.24"/>
    <n v="996.34"/>
    <n v="5645.9"/>
    <x v="1"/>
    <s v="Supermarket"/>
    <s v="S. Nair"/>
    <x v="0"/>
  </r>
  <r>
    <s v="ORD00148"/>
    <x v="116"/>
    <s v="CHOC0056"/>
    <s v="Mocha Dream"/>
    <x v="1"/>
    <n v="6.16"/>
    <n v="247"/>
    <n v="1521.52"/>
    <n v="152.15"/>
    <n v="1369.37"/>
    <x v="1"/>
    <s v="Supermarket"/>
    <s v="K. Patel"/>
    <x v="3"/>
  </r>
  <r>
    <s v="ORD00149"/>
    <x v="117"/>
    <s v="CHOC0079"/>
    <s v="Milk Bliss"/>
    <x v="3"/>
    <n v="6.84"/>
    <n v="1247"/>
    <n v="8529.48"/>
    <n v="0"/>
    <n v="8529.48"/>
    <x v="0"/>
    <s v="Online"/>
    <s v="P. Iyer"/>
    <x v="8"/>
  </r>
  <r>
    <s v="ORD00150"/>
    <x v="63"/>
    <s v="CHOC0197"/>
    <s v="Almond Elegance"/>
    <x v="5"/>
    <n v="5.41"/>
    <n v="265"/>
    <n v="1433.65"/>
    <n v="0"/>
    <n v="1433.65"/>
    <x v="4"/>
    <s v="Supermarket"/>
    <s v="R. Mehta"/>
    <x v="11"/>
  </r>
  <r>
    <s v="ORD00151"/>
    <x v="118"/>
    <s v="CHOC0098"/>
    <s v="White Pearl"/>
    <x v="0"/>
    <n v="4.6100000000000003"/>
    <n v="1164"/>
    <n v="5366.04"/>
    <n v="536.6"/>
    <n v="4829.4399999999996"/>
    <x v="0"/>
    <s v="Supermarket"/>
    <s v="M. Khan"/>
    <x v="6"/>
  </r>
  <r>
    <s v="ORD00152"/>
    <x v="119"/>
    <s v="CHOC0112"/>
    <s v="Dark Delight"/>
    <x v="2"/>
    <n v="13.94"/>
    <n v="1785"/>
    <n v="24882.9"/>
    <n v="2488.29"/>
    <n v="22394.61"/>
    <x v="1"/>
    <s v="Supermarket"/>
    <s v="K. Patel"/>
    <x v="4"/>
  </r>
  <r>
    <s v="ORD00153"/>
    <x v="120"/>
    <s v="CHOC0182"/>
    <s v="Royal Fudge"/>
    <x v="5"/>
    <n v="3.05"/>
    <n v="62"/>
    <n v="189.1"/>
    <n v="18.91"/>
    <n v="170.19"/>
    <x v="3"/>
    <s v="Supermarket"/>
    <s v="M. Khan"/>
    <x v="5"/>
  </r>
  <r>
    <s v="ORD00154"/>
    <x v="81"/>
    <s v="CHOC0023"/>
    <s v="Royal Fudge"/>
    <x v="1"/>
    <n v="4.78"/>
    <n v="1226"/>
    <n v="5860.28"/>
    <n v="879.04"/>
    <n v="4981.24"/>
    <x v="1"/>
    <s v="Retail"/>
    <s v="S. Nair"/>
    <x v="5"/>
  </r>
  <r>
    <s v="ORD00155"/>
    <x v="45"/>
    <s v="CHOC0191"/>
    <s v="Golden Nougat"/>
    <x v="3"/>
    <n v="6"/>
    <n v="364"/>
    <n v="2184"/>
    <n v="0"/>
    <n v="2184"/>
    <x v="1"/>
    <s v="Retail"/>
    <s v="K. Patel"/>
    <x v="9"/>
  </r>
  <r>
    <s v="ORD00156"/>
    <x v="40"/>
    <s v="CHOC0050"/>
    <s v="Silk Sensation"/>
    <x v="5"/>
    <n v="11.32"/>
    <n v="1697"/>
    <n v="19210.04"/>
    <n v="960.5"/>
    <n v="18249.54"/>
    <x v="3"/>
    <s v="Retail"/>
    <s v="R. Mehta"/>
    <x v="7"/>
  </r>
  <r>
    <s v="ORD00157"/>
    <x v="96"/>
    <s v="CHOC0051"/>
    <s v="Cocoa Royale"/>
    <x v="4"/>
    <n v="3.56"/>
    <n v="1574"/>
    <n v="5603.44"/>
    <n v="0"/>
    <n v="5603.44"/>
    <x v="3"/>
    <s v="Supermarket"/>
    <s v="S. Nair"/>
    <x v="3"/>
  </r>
  <r>
    <s v="ORD00158"/>
    <x v="121"/>
    <s v="CHOC0195"/>
    <s v="Lava Bite"/>
    <x v="2"/>
    <n v="10.7"/>
    <n v="1826"/>
    <n v="19538.2"/>
    <n v="1953.82"/>
    <n v="17584.38"/>
    <x v="2"/>
    <s v="Online"/>
    <s v="S. Nair"/>
    <x v="10"/>
  </r>
  <r>
    <s v="ORD00159"/>
    <x v="20"/>
    <s v="CHOC0121"/>
    <s v="Choco Fusion"/>
    <x v="0"/>
    <n v="5.59"/>
    <n v="582"/>
    <n v="3253.38"/>
    <n v="0"/>
    <n v="3253.38"/>
    <x v="2"/>
    <s v="Retail"/>
    <s v="P. Iyer"/>
    <x v="2"/>
  </r>
  <r>
    <s v="ORD00160"/>
    <x v="22"/>
    <s v="CHOC0116"/>
    <s v="Milk Bliss"/>
    <x v="1"/>
    <n v="6.48"/>
    <n v="607"/>
    <n v="3933.36"/>
    <n v="0"/>
    <n v="3933.36"/>
    <x v="0"/>
    <s v="Supermarket"/>
    <s v="S. Nair"/>
    <x v="1"/>
  </r>
  <r>
    <s v="ORD00161"/>
    <x v="122"/>
    <s v="CHOC0142"/>
    <s v="Milk Bliss"/>
    <x v="2"/>
    <n v="13.77"/>
    <n v="1190"/>
    <n v="16386.3"/>
    <n v="819.32"/>
    <n v="15566.98"/>
    <x v="2"/>
    <s v="Supermarket"/>
    <s v="K. Patel"/>
    <x v="10"/>
  </r>
  <r>
    <s v="ORD00162"/>
    <x v="123"/>
    <s v="CHOC0016"/>
    <s v="Choco Fusion"/>
    <x v="1"/>
    <n v="12.45"/>
    <n v="1734"/>
    <n v="21588.3"/>
    <n v="2158.83"/>
    <n v="19429.47"/>
    <x v="0"/>
    <s v="Online"/>
    <s v="A. Sharma"/>
    <x v="6"/>
  </r>
  <r>
    <s v="ORD00163"/>
    <x v="124"/>
    <s v="CHOC0182"/>
    <s v="Choco Fusion"/>
    <x v="2"/>
    <n v="8.57"/>
    <n v="1268"/>
    <n v="10866.76"/>
    <n v="543.34"/>
    <n v="10323.42"/>
    <x v="2"/>
    <s v="Distributor"/>
    <s v="P. Iyer"/>
    <x v="3"/>
  </r>
  <r>
    <s v="ORD00164"/>
    <x v="125"/>
    <s v="CHOC0105"/>
    <s v="Golden Nougat"/>
    <x v="0"/>
    <n v="9.57"/>
    <n v="1636"/>
    <n v="15656.52"/>
    <n v="1565.65"/>
    <n v="14090.87"/>
    <x v="0"/>
    <s v="Distributor"/>
    <s v="A. Sharma"/>
    <x v="5"/>
  </r>
  <r>
    <s v="ORD00165"/>
    <x v="48"/>
    <s v="CHOC0174"/>
    <s v="Classic Cocoa"/>
    <x v="5"/>
    <n v="4.9000000000000004"/>
    <n v="1764"/>
    <n v="8643.6"/>
    <n v="432.18"/>
    <n v="8211.42"/>
    <x v="2"/>
    <s v="Retail"/>
    <s v="K. Patel"/>
    <x v="10"/>
  </r>
  <r>
    <s v="ORD00166"/>
    <x v="126"/>
    <s v="CHOC0037"/>
    <s v="Silk Sensation"/>
    <x v="5"/>
    <n v="14.56"/>
    <n v="1450"/>
    <n v="21112"/>
    <n v="3166.8"/>
    <n v="17945.2"/>
    <x v="3"/>
    <s v="Retail"/>
    <s v="P. Iyer"/>
    <x v="8"/>
  </r>
  <r>
    <s v="ORD00167"/>
    <x v="127"/>
    <s v="CHOC0097"/>
    <s v="Golden Nougat"/>
    <x v="3"/>
    <n v="10.55"/>
    <n v="1717"/>
    <n v="18114.349999999999"/>
    <n v="0"/>
    <n v="18114.349999999999"/>
    <x v="4"/>
    <s v="Distributor"/>
    <s v="A. Sharma"/>
    <x v="10"/>
  </r>
  <r>
    <s v="ORD00168"/>
    <x v="81"/>
    <s v="CHOC0080"/>
    <s v="Cocoa Royale"/>
    <x v="3"/>
    <n v="6.11"/>
    <n v="1589"/>
    <n v="9708.7900000000009"/>
    <n v="1456.32"/>
    <n v="8252.4699999999993"/>
    <x v="3"/>
    <s v="Online"/>
    <s v="R. Mehta"/>
    <x v="5"/>
  </r>
  <r>
    <s v="ORD00169"/>
    <x v="128"/>
    <s v="CHOC0020"/>
    <s v="Minty Magic"/>
    <x v="1"/>
    <n v="8.35"/>
    <n v="1125"/>
    <n v="9393.75"/>
    <n v="0"/>
    <n v="9393.75"/>
    <x v="2"/>
    <s v="Online"/>
    <s v="K. Patel"/>
    <x v="6"/>
  </r>
  <r>
    <s v="ORD00170"/>
    <x v="129"/>
    <s v="CHOC0040"/>
    <s v="Cocoa Royale"/>
    <x v="3"/>
    <n v="12.72"/>
    <n v="1599"/>
    <n v="20339.28"/>
    <n v="1016.96"/>
    <n v="19322.32"/>
    <x v="4"/>
    <s v="Retail"/>
    <s v="S. Nair"/>
    <x v="5"/>
  </r>
  <r>
    <s v="ORD00171"/>
    <x v="130"/>
    <s v="CHOC0174"/>
    <s v="Choco Supreme"/>
    <x v="2"/>
    <n v="9.74"/>
    <n v="1560"/>
    <n v="15194.4"/>
    <n v="2279.16"/>
    <n v="12915.24"/>
    <x v="3"/>
    <s v="Online"/>
    <s v="P. Iyer"/>
    <x v="5"/>
  </r>
  <r>
    <s v="ORD00172"/>
    <x v="77"/>
    <s v="CHOC0050"/>
    <s v="Silk Sensation"/>
    <x v="0"/>
    <n v="14.29"/>
    <n v="922"/>
    <n v="13175.38"/>
    <n v="1976.31"/>
    <n v="11199.07"/>
    <x v="2"/>
    <s v="Supermarket"/>
    <s v="K. Patel"/>
    <x v="1"/>
  </r>
  <r>
    <s v="ORD00173"/>
    <x v="131"/>
    <s v="CHOC0108"/>
    <s v="Cocoa Royale"/>
    <x v="3"/>
    <n v="12.32"/>
    <n v="303"/>
    <n v="3732.96"/>
    <n v="373.3"/>
    <n v="3359.66"/>
    <x v="0"/>
    <s v="Supermarket"/>
    <s v="P. Iyer"/>
    <x v="7"/>
  </r>
  <r>
    <s v="ORD00174"/>
    <x v="30"/>
    <s v="CHOC0027"/>
    <s v="Mocha Dream"/>
    <x v="1"/>
    <n v="5.35"/>
    <n v="1582"/>
    <n v="8463.7000000000007"/>
    <n v="423.19"/>
    <n v="8040.51"/>
    <x v="2"/>
    <s v="Supermarket"/>
    <s v="K. Patel"/>
    <x v="10"/>
  </r>
  <r>
    <s v="ORD00175"/>
    <x v="132"/>
    <s v="CHOC0112"/>
    <s v="Hazelnut Heaven"/>
    <x v="3"/>
    <n v="12.53"/>
    <n v="1831"/>
    <n v="22942.43"/>
    <n v="2294.2399999999998"/>
    <n v="20648.189999999999"/>
    <x v="0"/>
    <s v="Supermarket"/>
    <s v="A. Sharma"/>
    <x v="6"/>
  </r>
  <r>
    <s v="ORD00176"/>
    <x v="93"/>
    <s v="CHOC0129"/>
    <s v="Silk Sensation"/>
    <x v="3"/>
    <n v="6.71"/>
    <n v="187"/>
    <n v="1254.77"/>
    <n v="125.48"/>
    <n v="1129.29"/>
    <x v="3"/>
    <s v="Retail"/>
    <s v="P. Iyer"/>
    <x v="5"/>
  </r>
  <r>
    <s v="ORD00177"/>
    <x v="90"/>
    <s v="CHOC0183"/>
    <s v="Golden Nougat"/>
    <x v="3"/>
    <n v="3.36"/>
    <n v="607"/>
    <n v="2039.52"/>
    <n v="305.93"/>
    <n v="1733.59"/>
    <x v="3"/>
    <s v="Supermarket"/>
    <s v="S. Nair"/>
    <x v="2"/>
  </r>
  <r>
    <s v="ORD00178"/>
    <x v="103"/>
    <s v="CHOC0002"/>
    <s v="Hazelnut Heaven"/>
    <x v="1"/>
    <n v="4.95"/>
    <n v="1730"/>
    <n v="8563.5"/>
    <n v="428.18"/>
    <n v="8135.32"/>
    <x v="1"/>
    <s v="Supermarket"/>
    <s v="A. Sharma"/>
    <x v="0"/>
  </r>
  <r>
    <s v="ORD00179"/>
    <x v="133"/>
    <s v="CHOC0061"/>
    <s v="Minty Magic"/>
    <x v="1"/>
    <n v="2.14"/>
    <n v="879"/>
    <n v="1881.06"/>
    <n v="282.16000000000003"/>
    <n v="1598.9"/>
    <x v="0"/>
    <s v="Retail"/>
    <s v="S. Nair"/>
    <x v="3"/>
  </r>
  <r>
    <s v="ORD00180"/>
    <x v="134"/>
    <s v="CHOC0138"/>
    <s v="Dark Delight"/>
    <x v="0"/>
    <n v="8.4600000000000009"/>
    <n v="515"/>
    <n v="4356.8999999999996"/>
    <n v="217.84"/>
    <n v="4139.0600000000004"/>
    <x v="2"/>
    <s v="Supermarket"/>
    <s v="A. Sharma"/>
    <x v="0"/>
  </r>
  <r>
    <s v="ORD00181"/>
    <x v="135"/>
    <s v="CHOC0091"/>
    <s v="Choco Supreme"/>
    <x v="4"/>
    <n v="7.12"/>
    <n v="1380"/>
    <n v="9825.6"/>
    <n v="0"/>
    <n v="9825.6"/>
    <x v="1"/>
    <s v="Distributor"/>
    <s v="A. Sharma"/>
    <x v="0"/>
  </r>
  <r>
    <s v="ORD00182"/>
    <x v="88"/>
    <s v="CHOC0140"/>
    <s v="Mocha Dream"/>
    <x v="4"/>
    <n v="8.98"/>
    <n v="819"/>
    <n v="7354.62"/>
    <n v="1103.19"/>
    <n v="6251.43"/>
    <x v="0"/>
    <s v="Supermarket"/>
    <s v="P. Iyer"/>
    <x v="7"/>
  </r>
  <r>
    <s v="ORD00183"/>
    <x v="136"/>
    <s v="CHOC0192"/>
    <s v="Dark Delight"/>
    <x v="5"/>
    <n v="12.15"/>
    <n v="726"/>
    <n v="8820.9"/>
    <n v="441.05"/>
    <n v="8379.85"/>
    <x v="0"/>
    <s v="Distributor"/>
    <s v="R. Mehta"/>
    <x v="3"/>
  </r>
  <r>
    <s v="ORD00184"/>
    <x v="137"/>
    <s v="CHOC0091"/>
    <s v="White Pearl"/>
    <x v="5"/>
    <n v="12.48"/>
    <n v="378"/>
    <n v="4717.4399999999996"/>
    <n v="707.62"/>
    <n v="4009.82"/>
    <x v="4"/>
    <s v="Online"/>
    <s v="R. Mehta"/>
    <x v="4"/>
  </r>
  <r>
    <s v="ORD00185"/>
    <x v="100"/>
    <s v="CHOC0184"/>
    <s v="Choco Fusion"/>
    <x v="1"/>
    <n v="5.46"/>
    <n v="109"/>
    <n v="595.14"/>
    <n v="29.76"/>
    <n v="565.38"/>
    <x v="0"/>
    <s v="Distributor"/>
    <s v="P. Iyer"/>
    <x v="2"/>
  </r>
  <r>
    <s v="ORD00186"/>
    <x v="138"/>
    <s v="CHOC0102"/>
    <s v="White Pearl"/>
    <x v="2"/>
    <n v="4.92"/>
    <n v="1562"/>
    <n v="7685.04"/>
    <n v="384.25"/>
    <n v="7300.79"/>
    <x v="2"/>
    <s v="Distributor"/>
    <s v="A. Sharma"/>
    <x v="7"/>
  </r>
  <r>
    <s v="ORD00187"/>
    <x v="47"/>
    <s v="CHOC0085"/>
    <s v="Berry Infusion"/>
    <x v="1"/>
    <n v="12.29"/>
    <n v="914"/>
    <n v="11233.06"/>
    <n v="1684.96"/>
    <n v="9548.1"/>
    <x v="4"/>
    <s v="Supermarket"/>
    <s v="P. Iyer"/>
    <x v="8"/>
  </r>
  <r>
    <s v="ORD00188"/>
    <x v="139"/>
    <s v="CHOC0128"/>
    <s v="Crispy Wafer"/>
    <x v="5"/>
    <n v="13.98"/>
    <n v="1083"/>
    <n v="15140.34"/>
    <n v="1514.03"/>
    <n v="13626.31"/>
    <x v="0"/>
    <s v="Supermarket"/>
    <s v="A. Sharma"/>
    <x v="11"/>
  </r>
  <r>
    <s v="ORD00189"/>
    <x v="41"/>
    <s v="CHOC0155"/>
    <s v="Cocoa Royale"/>
    <x v="4"/>
    <n v="5.47"/>
    <n v="230"/>
    <n v="1258.0999999999999"/>
    <n v="0"/>
    <n v="1258.0999999999999"/>
    <x v="2"/>
    <s v="Distributor"/>
    <s v="P. Iyer"/>
    <x v="1"/>
  </r>
  <r>
    <s v="ORD00190"/>
    <x v="49"/>
    <s v="CHOC0155"/>
    <s v="Royal Fudge"/>
    <x v="3"/>
    <n v="10.81"/>
    <n v="739"/>
    <n v="7988.59"/>
    <n v="1198.29"/>
    <n v="6790.3"/>
    <x v="0"/>
    <s v="Distributor"/>
    <s v="K. Patel"/>
    <x v="1"/>
  </r>
  <r>
    <s v="ORD00191"/>
    <x v="13"/>
    <s v="CHOC0071"/>
    <s v="Milk Bliss"/>
    <x v="1"/>
    <n v="10.56"/>
    <n v="851"/>
    <n v="8986.56"/>
    <n v="898.66"/>
    <n v="8087.9"/>
    <x v="1"/>
    <s v="Online"/>
    <s v="A. Sharma"/>
    <x v="1"/>
  </r>
  <r>
    <s v="ORD00192"/>
    <x v="140"/>
    <s v="CHOC0156"/>
    <s v="Choco Fusion"/>
    <x v="1"/>
    <n v="3.2"/>
    <n v="503"/>
    <n v="1609.6"/>
    <n v="160.96"/>
    <n v="1448.64"/>
    <x v="2"/>
    <s v="Supermarket"/>
    <s v="K. Patel"/>
    <x v="6"/>
  </r>
  <r>
    <s v="ORD00193"/>
    <x v="8"/>
    <s v="CHOC0155"/>
    <s v="Almond Elegance"/>
    <x v="0"/>
    <n v="7.57"/>
    <n v="779"/>
    <n v="5897.03"/>
    <n v="589.70000000000005"/>
    <n v="5307.33"/>
    <x v="4"/>
    <s v="Retail"/>
    <s v="K. Patel"/>
    <x v="4"/>
  </r>
  <r>
    <s v="ORD00194"/>
    <x v="141"/>
    <s v="CHOC0136"/>
    <s v="Silk Sensation"/>
    <x v="2"/>
    <n v="5.74"/>
    <n v="590"/>
    <n v="3386.6"/>
    <n v="169.33"/>
    <n v="3217.27"/>
    <x v="0"/>
    <s v="Retail"/>
    <s v="M. Khan"/>
    <x v="6"/>
  </r>
  <r>
    <s v="ORD00195"/>
    <x v="139"/>
    <s v="CHOC0128"/>
    <s v="Mocha Dream"/>
    <x v="2"/>
    <n v="13.83"/>
    <n v="261"/>
    <n v="3609.63"/>
    <n v="360.96"/>
    <n v="3248.67"/>
    <x v="2"/>
    <s v="Supermarket"/>
    <s v="R. Mehta"/>
    <x v="11"/>
  </r>
  <r>
    <s v="ORD00196"/>
    <x v="142"/>
    <s v="CHOC0074"/>
    <s v="Crispy Wafer"/>
    <x v="3"/>
    <n v="3.16"/>
    <n v="1766"/>
    <n v="5580.56"/>
    <n v="0"/>
    <n v="5580.56"/>
    <x v="4"/>
    <s v="Online"/>
    <s v="M. Khan"/>
    <x v="0"/>
  </r>
  <r>
    <s v="ORD00197"/>
    <x v="143"/>
    <s v="CHOC0023"/>
    <s v="Golden Nougat"/>
    <x v="0"/>
    <n v="6.19"/>
    <n v="152"/>
    <n v="940.88"/>
    <n v="94.09"/>
    <n v="846.79"/>
    <x v="2"/>
    <s v="Online"/>
    <s v="M. Khan"/>
    <x v="1"/>
  </r>
  <r>
    <s v="ORD00198"/>
    <x v="144"/>
    <s v="CHOC0180"/>
    <s v="Cocoa Royale"/>
    <x v="5"/>
    <n v="8.3699999999999992"/>
    <n v="268"/>
    <n v="2243.16"/>
    <n v="112.16"/>
    <n v="2131"/>
    <x v="3"/>
    <s v="Online"/>
    <s v="S. Nair"/>
    <x v="8"/>
  </r>
  <r>
    <s v="ORD00199"/>
    <x v="57"/>
    <s v="CHOC0093"/>
    <s v="White Pearl"/>
    <x v="4"/>
    <n v="6.48"/>
    <n v="1665"/>
    <n v="10789.2"/>
    <n v="539.46"/>
    <n v="10249.74"/>
    <x v="1"/>
    <s v="Retail"/>
    <s v="A. Sharma"/>
    <x v="4"/>
  </r>
  <r>
    <s v="ORD00200"/>
    <x v="45"/>
    <s v="CHOC0102"/>
    <s v="Crispy Wafer"/>
    <x v="4"/>
    <n v="7.05"/>
    <n v="858"/>
    <n v="6048.9"/>
    <n v="0"/>
    <n v="6048.9"/>
    <x v="3"/>
    <s v="Distributor"/>
    <s v="M. Khan"/>
    <x v="9"/>
  </r>
  <r>
    <s v="ORD00201"/>
    <x v="145"/>
    <s v="CHOC0116"/>
    <s v="Choco Fusion"/>
    <x v="0"/>
    <n v="8.48"/>
    <n v="282"/>
    <n v="2391.36"/>
    <n v="119.57"/>
    <n v="2271.79"/>
    <x v="3"/>
    <s v="Supermarket"/>
    <s v="K. Patel"/>
    <x v="2"/>
  </r>
  <r>
    <s v="ORD00202"/>
    <x v="146"/>
    <s v="CHOC0032"/>
    <s v="Mocha Dream"/>
    <x v="3"/>
    <n v="5.61"/>
    <n v="351"/>
    <n v="1969.11"/>
    <n v="196.91"/>
    <n v="1772.2"/>
    <x v="3"/>
    <s v="Distributor"/>
    <s v="K. Patel"/>
    <x v="4"/>
  </r>
  <r>
    <s v="ORD00203"/>
    <x v="147"/>
    <s v="CHOC0021"/>
    <s v="Berry Infusion"/>
    <x v="3"/>
    <n v="10.07"/>
    <n v="1148"/>
    <n v="11560.36"/>
    <n v="1156.04"/>
    <n v="10404.32"/>
    <x v="3"/>
    <s v="Distributor"/>
    <s v="K. Patel"/>
    <x v="3"/>
  </r>
  <r>
    <s v="ORD00204"/>
    <x v="148"/>
    <s v="CHOC0024"/>
    <s v="Mocha Dream"/>
    <x v="0"/>
    <n v="3.78"/>
    <n v="1948"/>
    <n v="7363.44"/>
    <n v="368.17"/>
    <n v="6995.27"/>
    <x v="3"/>
    <s v="Distributor"/>
    <s v="K. Patel"/>
    <x v="10"/>
  </r>
  <r>
    <s v="ORD00205"/>
    <x v="119"/>
    <s v="CHOC0008"/>
    <s v="Hazelnut Heaven"/>
    <x v="1"/>
    <n v="14.31"/>
    <n v="1599"/>
    <n v="22881.69"/>
    <n v="2288.17"/>
    <n v="20593.52"/>
    <x v="3"/>
    <s v="Supermarket"/>
    <s v="K. Patel"/>
    <x v="4"/>
  </r>
  <r>
    <s v="ORD00206"/>
    <x v="0"/>
    <s v="CHOC0008"/>
    <s v="Crispy Wafer"/>
    <x v="0"/>
    <n v="8.8699999999999992"/>
    <n v="1334"/>
    <n v="11832.58"/>
    <n v="1183.26"/>
    <n v="10649.32"/>
    <x v="4"/>
    <s v="Online"/>
    <s v="M. Khan"/>
    <x v="0"/>
  </r>
  <r>
    <s v="ORD00207"/>
    <x v="120"/>
    <s v="CHOC0077"/>
    <s v="Choco Fusion"/>
    <x v="1"/>
    <n v="10.8"/>
    <n v="343"/>
    <n v="3704.4"/>
    <n v="555.66"/>
    <n v="3148.74"/>
    <x v="4"/>
    <s v="Supermarket"/>
    <s v="S. Nair"/>
    <x v="5"/>
  </r>
  <r>
    <s v="ORD00208"/>
    <x v="149"/>
    <s v="CHOC0088"/>
    <s v="Choco Luxe"/>
    <x v="3"/>
    <n v="5.72"/>
    <n v="1491"/>
    <n v="8528.52"/>
    <n v="852.85"/>
    <n v="7675.67"/>
    <x v="2"/>
    <s v="Supermarket"/>
    <s v="R. Mehta"/>
    <x v="11"/>
  </r>
  <r>
    <s v="ORD00209"/>
    <x v="150"/>
    <s v="CHOC0132"/>
    <s v="White Pearl"/>
    <x v="1"/>
    <n v="5.81"/>
    <n v="975"/>
    <n v="5664.75"/>
    <n v="0"/>
    <n v="5664.75"/>
    <x v="2"/>
    <s v="Supermarket"/>
    <s v="R. Mehta"/>
    <x v="5"/>
  </r>
  <r>
    <s v="ORD00210"/>
    <x v="113"/>
    <s v="CHOC0025"/>
    <s v="Milk Bliss"/>
    <x v="5"/>
    <n v="14.26"/>
    <n v="1789"/>
    <n v="25511.14"/>
    <n v="3826.67"/>
    <n v="21684.47"/>
    <x v="3"/>
    <s v="Online"/>
    <s v="P. Iyer"/>
    <x v="6"/>
  </r>
  <r>
    <s v="ORD00211"/>
    <x v="151"/>
    <s v="CHOC0185"/>
    <s v="Golden Nougat"/>
    <x v="3"/>
    <n v="11.8"/>
    <n v="1040"/>
    <n v="12272"/>
    <n v="1840.8"/>
    <n v="10431.200000000001"/>
    <x v="4"/>
    <s v="Distributor"/>
    <s v="S. Nair"/>
    <x v="10"/>
  </r>
  <r>
    <s v="ORD00212"/>
    <x v="152"/>
    <s v="CHOC0024"/>
    <s v="Classic Cocoa"/>
    <x v="4"/>
    <n v="7.67"/>
    <n v="513"/>
    <n v="3934.71"/>
    <n v="196.74"/>
    <n v="3737.97"/>
    <x v="1"/>
    <s v="Distributor"/>
    <s v="A. Sharma"/>
    <x v="4"/>
  </r>
  <r>
    <s v="ORD00213"/>
    <x v="153"/>
    <s v="CHOC0073"/>
    <s v="Crispy Wafer"/>
    <x v="4"/>
    <n v="13.41"/>
    <n v="1359"/>
    <n v="18224.189999999999"/>
    <n v="2733.63"/>
    <n v="15490.56"/>
    <x v="2"/>
    <s v="Retail"/>
    <s v="A. Sharma"/>
    <x v="4"/>
  </r>
  <r>
    <s v="ORD00214"/>
    <x v="41"/>
    <s v="CHOC0035"/>
    <s v="Berry Infusion"/>
    <x v="0"/>
    <n v="6.44"/>
    <n v="845"/>
    <n v="5441.8"/>
    <n v="544.17999999999995"/>
    <n v="4897.62"/>
    <x v="0"/>
    <s v="Supermarket"/>
    <s v="A. Sharma"/>
    <x v="1"/>
  </r>
  <r>
    <s v="ORD00215"/>
    <x v="154"/>
    <s v="CHOC0144"/>
    <s v="Velvet Truffle"/>
    <x v="5"/>
    <n v="8.9700000000000006"/>
    <n v="170"/>
    <n v="1524.9"/>
    <n v="228.74"/>
    <n v="1296.1600000000001"/>
    <x v="1"/>
    <s v="Supermarket"/>
    <s v="K. Patel"/>
    <x v="10"/>
  </r>
  <r>
    <s v="ORD00216"/>
    <x v="155"/>
    <s v="CHOC0160"/>
    <s v="Choco Luxe"/>
    <x v="1"/>
    <n v="3.24"/>
    <n v="218"/>
    <n v="706.32"/>
    <n v="105.95"/>
    <n v="600.37"/>
    <x v="2"/>
    <s v="Distributor"/>
    <s v="K. Patel"/>
    <x v="3"/>
  </r>
  <r>
    <s v="ORD00217"/>
    <x v="156"/>
    <s v="CHOC0194"/>
    <s v="Almond Elegance"/>
    <x v="3"/>
    <n v="9.6300000000000008"/>
    <n v="842"/>
    <n v="8108.46"/>
    <n v="0"/>
    <n v="8108.46"/>
    <x v="0"/>
    <s v="Retail"/>
    <s v="R. Mehta"/>
    <x v="5"/>
  </r>
  <r>
    <s v="ORD00218"/>
    <x v="157"/>
    <s v="CHOC0122"/>
    <s v="Mocha Dream"/>
    <x v="2"/>
    <n v="3.51"/>
    <n v="1849"/>
    <n v="6489.99"/>
    <n v="324.5"/>
    <n v="6165.49"/>
    <x v="2"/>
    <s v="Distributor"/>
    <s v="R. Mehta"/>
    <x v="9"/>
  </r>
  <r>
    <s v="ORD00219"/>
    <x v="158"/>
    <s v="CHOC0158"/>
    <s v="Minty Magic"/>
    <x v="4"/>
    <n v="6.04"/>
    <n v="1716"/>
    <n v="10364.64"/>
    <n v="1554.7"/>
    <n v="8809.94"/>
    <x v="1"/>
    <s v="Distributor"/>
    <s v="S. Nair"/>
    <x v="5"/>
  </r>
  <r>
    <s v="ORD00220"/>
    <x v="65"/>
    <s v="CHOC0095"/>
    <s v="Golden Nougat"/>
    <x v="0"/>
    <n v="2.98"/>
    <n v="873"/>
    <n v="2601.54"/>
    <n v="260.14999999999998"/>
    <n v="2341.39"/>
    <x v="0"/>
    <s v="Supermarket"/>
    <s v="P. Iyer"/>
    <x v="4"/>
  </r>
  <r>
    <s v="ORD00221"/>
    <x v="47"/>
    <s v="CHOC0199"/>
    <s v="Lava Bite"/>
    <x v="4"/>
    <n v="4.57"/>
    <n v="125"/>
    <n v="571.25"/>
    <n v="85.69"/>
    <n v="485.56"/>
    <x v="3"/>
    <s v="Supermarket"/>
    <s v="R. Mehta"/>
    <x v="8"/>
  </r>
  <r>
    <s v="ORD00222"/>
    <x v="159"/>
    <s v="CHOC0063"/>
    <s v="Milk Bliss"/>
    <x v="4"/>
    <n v="14.3"/>
    <n v="245"/>
    <n v="3503.5"/>
    <n v="175.18"/>
    <n v="3328.32"/>
    <x v="0"/>
    <s v="Supermarket"/>
    <s v="P. Iyer"/>
    <x v="8"/>
  </r>
  <r>
    <s v="ORD00223"/>
    <x v="160"/>
    <s v="CHOC0039"/>
    <s v="Royal Fudge"/>
    <x v="0"/>
    <n v="4.25"/>
    <n v="1047"/>
    <n v="4449.75"/>
    <n v="667.46"/>
    <n v="3782.29"/>
    <x v="0"/>
    <s v="Online"/>
    <s v="K. Patel"/>
    <x v="1"/>
  </r>
  <r>
    <s v="ORD00224"/>
    <x v="161"/>
    <s v="CHOC0144"/>
    <s v="Golden Nougat"/>
    <x v="0"/>
    <n v="7.96"/>
    <n v="791"/>
    <n v="6296.36"/>
    <n v="629.64"/>
    <n v="5666.72"/>
    <x v="3"/>
    <s v="Supermarket"/>
    <s v="K. Patel"/>
    <x v="11"/>
  </r>
  <r>
    <s v="ORD00225"/>
    <x v="162"/>
    <s v="CHOC0140"/>
    <s v="Silk Sensation"/>
    <x v="0"/>
    <n v="11.92"/>
    <n v="1496"/>
    <n v="17832.32"/>
    <n v="1783.23"/>
    <n v="16049.09"/>
    <x v="1"/>
    <s v="Supermarket"/>
    <s v="R. Mehta"/>
    <x v="9"/>
  </r>
  <r>
    <s v="ORD00226"/>
    <x v="124"/>
    <s v="CHOC0072"/>
    <s v="White Pearl"/>
    <x v="5"/>
    <n v="4.54"/>
    <n v="629"/>
    <n v="2855.66"/>
    <n v="285.57"/>
    <n v="2570.09"/>
    <x v="3"/>
    <s v="Supermarket"/>
    <s v="P. Iyer"/>
    <x v="3"/>
  </r>
  <r>
    <s v="ORD00227"/>
    <x v="69"/>
    <s v="CHOC0090"/>
    <s v="White Pearl"/>
    <x v="0"/>
    <n v="5.19"/>
    <n v="269"/>
    <n v="1396.11"/>
    <n v="209.42"/>
    <n v="1186.69"/>
    <x v="4"/>
    <s v="Distributor"/>
    <s v="R. Mehta"/>
    <x v="7"/>
  </r>
  <r>
    <s v="ORD00228"/>
    <x v="163"/>
    <s v="CHOC0011"/>
    <s v="Minty Magic"/>
    <x v="0"/>
    <n v="2.57"/>
    <n v="1912"/>
    <n v="4913.84"/>
    <n v="737.08"/>
    <n v="4176.76"/>
    <x v="2"/>
    <s v="Supermarket"/>
    <s v="R. Mehta"/>
    <x v="3"/>
  </r>
  <r>
    <s v="ORD00229"/>
    <x v="164"/>
    <s v="CHOC0138"/>
    <s v="Berry Infusion"/>
    <x v="4"/>
    <n v="10.9"/>
    <n v="301"/>
    <n v="3280.9"/>
    <n v="0"/>
    <n v="3280.9"/>
    <x v="1"/>
    <s v="Online"/>
    <s v="R. Mehta"/>
    <x v="11"/>
  </r>
  <r>
    <s v="ORD00230"/>
    <x v="153"/>
    <s v="CHOC0172"/>
    <s v="Mocha Dream"/>
    <x v="3"/>
    <n v="10.11"/>
    <n v="127"/>
    <n v="1283.97"/>
    <n v="0"/>
    <n v="1283.97"/>
    <x v="4"/>
    <s v="Distributor"/>
    <s v="M. Khan"/>
    <x v="4"/>
  </r>
  <r>
    <s v="ORD00231"/>
    <x v="165"/>
    <s v="CHOC0026"/>
    <s v="Almond Elegance"/>
    <x v="1"/>
    <n v="14.52"/>
    <n v="1922"/>
    <n v="27907.439999999999"/>
    <n v="1395.37"/>
    <n v="26512.07"/>
    <x v="4"/>
    <s v="Supermarket"/>
    <s v="S. Nair"/>
    <x v="1"/>
  </r>
  <r>
    <s v="ORD00232"/>
    <x v="166"/>
    <s v="CHOC0052"/>
    <s v="Minty Magic"/>
    <x v="5"/>
    <n v="5.35"/>
    <n v="141"/>
    <n v="754.35"/>
    <n v="0"/>
    <n v="754.35"/>
    <x v="1"/>
    <s v="Online"/>
    <s v="K. Patel"/>
    <x v="0"/>
  </r>
  <r>
    <s v="ORD00233"/>
    <x v="167"/>
    <s v="CHOC0045"/>
    <s v="Royal Fudge"/>
    <x v="3"/>
    <n v="14.11"/>
    <n v="94"/>
    <n v="1326.34"/>
    <n v="198.95"/>
    <n v="1127.3900000000001"/>
    <x v="4"/>
    <s v="Online"/>
    <s v="M. Khan"/>
    <x v="4"/>
  </r>
  <r>
    <s v="ORD00234"/>
    <x v="163"/>
    <s v="CHOC0010"/>
    <s v="Dark Delight"/>
    <x v="5"/>
    <n v="9.17"/>
    <n v="239"/>
    <n v="2191.63"/>
    <n v="219.16"/>
    <n v="1972.47"/>
    <x v="2"/>
    <s v="Supermarket"/>
    <s v="M. Khan"/>
    <x v="3"/>
  </r>
  <r>
    <s v="ORD00235"/>
    <x v="168"/>
    <s v="CHOC0135"/>
    <s v="Crispy Wafer"/>
    <x v="3"/>
    <n v="12.99"/>
    <n v="978"/>
    <n v="12704.22"/>
    <n v="1270.42"/>
    <n v="11433.8"/>
    <x v="3"/>
    <s v="Retail"/>
    <s v="P. Iyer"/>
    <x v="10"/>
  </r>
  <r>
    <s v="ORD00236"/>
    <x v="36"/>
    <s v="CHOC0188"/>
    <s v="Choco Fusion"/>
    <x v="0"/>
    <n v="4.97"/>
    <n v="401"/>
    <n v="1992.97"/>
    <n v="0"/>
    <n v="1992.97"/>
    <x v="2"/>
    <s v="Distributor"/>
    <s v="K. Patel"/>
    <x v="6"/>
  </r>
  <r>
    <s v="ORD00237"/>
    <x v="169"/>
    <s v="CHOC0194"/>
    <s v="Velvet Truffle"/>
    <x v="3"/>
    <n v="9.75"/>
    <n v="1328"/>
    <n v="12948"/>
    <n v="1942.2"/>
    <n v="11005.8"/>
    <x v="4"/>
    <s v="Distributor"/>
    <s v="A. Sharma"/>
    <x v="8"/>
  </r>
  <r>
    <s v="ORD00238"/>
    <x v="170"/>
    <s v="CHOC0172"/>
    <s v="Caramel Crunch"/>
    <x v="3"/>
    <n v="14.75"/>
    <n v="997"/>
    <n v="14705.75"/>
    <n v="1470.58"/>
    <n v="13235.17"/>
    <x v="3"/>
    <s v="Retail"/>
    <s v="P. Iyer"/>
    <x v="5"/>
  </r>
  <r>
    <s v="ORD00239"/>
    <x v="92"/>
    <s v="CHOC0061"/>
    <s v="Choco Fusion"/>
    <x v="5"/>
    <n v="14.38"/>
    <n v="638"/>
    <n v="9174.44"/>
    <n v="0"/>
    <n v="9174.44"/>
    <x v="2"/>
    <s v="Distributor"/>
    <s v="M. Khan"/>
    <x v="5"/>
  </r>
  <r>
    <s v="ORD00240"/>
    <x v="171"/>
    <s v="CHOC0016"/>
    <s v="Caramel Crunch"/>
    <x v="2"/>
    <n v="5.64"/>
    <n v="850"/>
    <n v="4794"/>
    <n v="479.4"/>
    <n v="4314.6000000000004"/>
    <x v="0"/>
    <s v="Distributor"/>
    <s v="P. Iyer"/>
    <x v="3"/>
  </r>
  <r>
    <s v="ORD00241"/>
    <x v="135"/>
    <s v="CHOC0057"/>
    <s v="Choco Supreme"/>
    <x v="3"/>
    <n v="7.96"/>
    <n v="951"/>
    <n v="7569.96"/>
    <n v="757"/>
    <n v="6812.96"/>
    <x v="4"/>
    <s v="Supermarket"/>
    <s v="K. Patel"/>
    <x v="0"/>
  </r>
  <r>
    <s v="ORD00242"/>
    <x v="110"/>
    <s v="CHOC0056"/>
    <s v="Choco Supreme"/>
    <x v="0"/>
    <n v="11.69"/>
    <n v="1808"/>
    <n v="21135.52"/>
    <n v="0"/>
    <n v="21135.52"/>
    <x v="1"/>
    <s v="Supermarket"/>
    <s v="K. Patel"/>
    <x v="8"/>
  </r>
  <r>
    <s v="ORD00243"/>
    <x v="172"/>
    <s v="CHOC0093"/>
    <s v="Hazelnut Heaven"/>
    <x v="4"/>
    <n v="3.01"/>
    <n v="1717"/>
    <n v="5168.17"/>
    <n v="258.41000000000003"/>
    <n v="4909.76"/>
    <x v="1"/>
    <s v="Online"/>
    <s v="R. Mehta"/>
    <x v="8"/>
  </r>
  <r>
    <s v="ORD00244"/>
    <x v="173"/>
    <s v="CHOC0134"/>
    <s v="Choco Fusion"/>
    <x v="1"/>
    <n v="10.68"/>
    <n v="1488"/>
    <n v="15891.84"/>
    <n v="2383.7800000000002"/>
    <n v="13508.06"/>
    <x v="0"/>
    <s v="Supermarket"/>
    <s v="A. Sharma"/>
    <x v="9"/>
  </r>
  <r>
    <s v="ORD00245"/>
    <x v="6"/>
    <s v="CHOC0034"/>
    <s v="Mocha Dream"/>
    <x v="2"/>
    <n v="7.67"/>
    <n v="138"/>
    <n v="1058.46"/>
    <n v="158.77000000000001"/>
    <n v="899.69"/>
    <x v="2"/>
    <s v="Retail"/>
    <s v="S. Nair"/>
    <x v="1"/>
  </r>
  <r>
    <s v="ORD00246"/>
    <x v="109"/>
    <s v="CHOC0001"/>
    <s v="Velvet Truffle"/>
    <x v="4"/>
    <n v="2.4900000000000002"/>
    <n v="887"/>
    <n v="2208.63"/>
    <n v="220.86"/>
    <n v="1987.77"/>
    <x v="0"/>
    <s v="Retail"/>
    <s v="A. Sharma"/>
    <x v="3"/>
  </r>
  <r>
    <s v="ORD00247"/>
    <x v="165"/>
    <s v="CHOC0009"/>
    <s v="Minty Magic"/>
    <x v="2"/>
    <n v="3.93"/>
    <n v="297"/>
    <n v="1167.21"/>
    <n v="175.08"/>
    <n v="992.13"/>
    <x v="2"/>
    <s v="Supermarket"/>
    <s v="S. Nair"/>
    <x v="1"/>
  </r>
  <r>
    <s v="ORD00248"/>
    <x v="174"/>
    <s v="CHOC0097"/>
    <s v="Hazelnut Heaven"/>
    <x v="0"/>
    <n v="14.52"/>
    <n v="1811"/>
    <n v="26295.72"/>
    <n v="1314.79"/>
    <n v="24980.93"/>
    <x v="2"/>
    <s v="Retail"/>
    <s v="R. Mehta"/>
    <x v="5"/>
  </r>
  <r>
    <s v="ORD00249"/>
    <x v="175"/>
    <s v="CHOC0101"/>
    <s v="Mocha Dream"/>
    <x v="3"/>
    <n v="11.33"/>
    <n v="476"/>
    <n v="5393.08"/>
    <n v="0"/>
    <n v="5393.08"/>
    <x v="0"/>
    <s v="Distributor"/>
    <s v="S. Nair"/>
    <x v="10"/>
  </r>
  <r>
    <s v="ORD00250"/>
    <x v="176"/>
    <s v="CHOC0185"/>
    <s v="White Pearl"/>
    <x v="2"/>
    <n v="8.68"/>
    <n v="1706"/>
    <n v="14808.08"/>
    <n v="740.4"/>
    <n v="14067.68"/>
    <x v="3"/>
    <s v="Supermarket"/>
    <s v="P. Iyer"/>
    <x v="8"/>
  </r>
  <r>
    <s v="ORD00251"/>
    <x v="128"/>
    <s v="CHOC0071"/>
    <s v="Velvet Truffle"/>
    <x v="0"/>
    <n v="11.83"/>
    <n v="85"/>
    <n v="1005.55"/>
    <n v="150.83000000000001"/>
    <n v="854.72"/>
    <x v="1"/>
    <s v="Retail"/>
    <s v="R. Mehta"/>
    <x v="6"/>
  </r>
  <r>
    <s v="ORD00252"/>
    <x v="177"/>
    <s v="CHOC0018"/>
    <s v="Caramel Crunch"/>
    <x v="4"/>
    <n v="1.95"/>
    <n v="1244"/>
    <n v="2425.8000000000002"/>
    <n v="0"/>
    <n v="2425.8000000000002"/>
    <x v="3"/>
    <s v="Retail"/>
    <s v="S. Nair"/>
    <x v="11"/>
  </r>
  <r>
    <s v="ORD00253"/>
    <x v="82"/>
    <s v="CHOC0060"/>
    <s v="White Pearl"/>
    <x v="3"/>
    <n v="11.68"/>
    <n v="1609"/>
    <n v="18793.12"/>
    <n v="0"/>
    <n v="18793.12"/>
    <x v="3"/>
    <s v="Distributor"/>
    <s v="R. Mehta"/>
    <x v="1"/>
  </r>
  <r>
    <s v="ORD00254"/>
    <x v="178"/>
    <s v="CHOC0082"/>
    <s v="Lava Bite"/>
    <x v="4"/>
    <n v="11.93"/>
    <n v="1696"/>
    <n v="20233.28"/>
    <n v="2023.33"/>
    <n v="18209.95"/>
    <x v="3"/>
    <s v="Distributor"/>
    <s v="R. Mehta"/>
    <x v="10"/>
  </r>
  <r>
    <s v="ORD00255"/>
    <x v="179"/>
    <s v="CHOC0134"/>
    <s v="Choco Supreme"/>
    <x v="2"/>
    <n v="5.56"/>
    <n v="144"/>
    <n v="800.64"/>
    <n v="40.03"/>
    <n v="760.61"/>
    <x v="4"/>
    <s v="Supermarket"/>
    <s v="A. Sharma"/>
    <x v="8"/>
  </r>
  <r>
    <s v="ORD00256"/>
    <x v="180"/>
    <s v="CHOC0165"/>
    <s v="Classic Cocoa"/>
    <x v="4"/>
    <n v="5.8"/>
    <n v="872"/>
    <n v="5057.6000000000004"/>
    <n v="758.64"/>
    <n v="4298.96"/>
    <x v="3"/>
    <s v="Distributor"/>
    <s v="S. Nair"/>
    <x v="9"/>
  </r>
  <r>
    <s v="ORD00257"/>
    <x v="181"/>
    <s v="CHOC0194"/>
    <s v="White Pearl"/>
    <x v="2"/>
    <n v="4.75"/>
    <n v="481"/>
    <n v="2284.75"/>
    <n v="228.48"/>
    <n v="2056.27"/>
    <x v="3"/>
    <s v="Supermarket"/>
    <s v="A. Sharma"/>
    <x v="11"/>
  </r>
  <r>
    <s v="ORD00258"/>
    <x v="182"/>
    <s v="CHOC0106"/>
    <s v="Royal Fudge"/>
    <x v="4"/>
    <n v="8.65"/>
    <n v="815"/>
    <n v="7049.75"/>
    <n v="352.49"/>
    <n v="6697.26"/>
    <x v="2"/>
    <s v="Online"/>
    <s v="P. Iyer"/>
    <x v="10"/>
  </r>
  <r>
    <s v="ORD00259"/>
    <x v="183"/>
    <s v="CHOC0021"/>
    <s v="Choco Fusion"/>
    <x v="5"/>
    <n v="2.75"/>
    <n v="1503"/>
    <n v="4133.25"/>
    <n v="206.66"/>
    <n v="3926.59"/>
    <x v="0"/>
    <s v="Distributor"/>
    <s v="S. Nair"/>
    <x v="0"/>
  </r>
  <r>
    <s v="ORD00260"/>
    <x v="176"/>
    <s v="CHOC0155"/>
    <s v="Choco Luxe"/>
    <x v="1"/>
    <n v="13.29"/>
    <n v="405"/>
    <n v="5382.45"/>
    <n v="269.12"/>
    <n v="5113.33"/>
    <x v="4"/>
    <s v="Online"/>
    <s v="P. Iyer"/>
    <x v="8"/>
  </r>
  <r>
    <s v="ORD00261"/>
    <x v="101"/>
    <s v="CHOC0004"/>
    <s v="Velvet Truffle"/>
    <x v="3"/>
    <n v="14.49"/>
    <n v="260"/>
    <n v="3767.4"/>
    <n v="565.11"/>
    <n v="3202.29"/>
    <x v="3"/>
    <s v="Online"/>
    <s v="S. Nair"/>
    <x v="9"/>
  </r>
  <r>
    <s v="ORD00262"/>
    <x v="50"/>
    <s v="CHOC0142"/>
    <s v="Golden Nougat"/>
    <x v="5"/>
    <n v="6.64"/>
    <n v="1112"/>
    <n v="7383.68"/>
    <n v="738.37"/>
    <n v="6645.31"/>
    <x v="2"/>
    <s v="Distributor"/>
    <s v="P. Iyer"/>
    <x v="3"/>
  </r>
  <r>
    <s v="ORD00263"/>
    <x v="184"/>
    <s v="CHOC0128"/>
    <s v="Choco Fusion"/>
    <x v="1"/>
    <n v="12.34"/>
    <n v="1499"/>
    <n v="18497.66"/>
    <n v="2774.65"/>
    <n v="15723.01"/>
    <x v="2"/>
    <s v="Online"/>
    <s v="P. Iyer"/>
    <x v="7"/>
  </r>
  <r>
    <s v="ORD00264"/>
    <x v="185"/>
    <s v="CHOC0106"/>
    <s v="Milk Bliss"/>
    <x v="4"/>
    <n v="13.17"/>
    <n v="1538"/>
    <n v="20255.46"/>
    <n v="1012.77"/>
    <n v="19242.689999999999"/>
    <x v="0"/>
    <s v="Distributor"/>
    <s v="K. Patel"/>
    <x v="9"/>
  </r>
  <r>
    <s v="ORD00265"/>
    <x v="186"/>
    <s v="CHOC0149"/>
    <s v="Royal Fudge"/>
    <x v="5"/>
    <n v="3.56"/>
    <n v="695"/>
    <n v="2474.1999999999998"/>
    <n v="123.71"/>
    <n v="2350.4899999999998"/>
    <x v="4"/>
    <s v="Online"/>
    <s v="S. Nair"/>
    <x v="10"/>
  </r>
  <r>
    <s v="ORD00266"/>
    <x v="187"/>
    <s v="CHOC0168"/>
    <s v="Golden Nougat"/>
    <x v="5"/>
    <n v="11.81"/>
    <n v="1020"/>
    <n v="12046.2"/>
    <n v="1806.93"/>
    <n v="10239.27"/>
    <x v="4"/>
    <s v="Online"/>
    <s v="M. Khan"/>
    <x v="10"/>
  </r>
  <r>
    <s v="ORD00267"/>
    <x v="188"/>
    <s v="CHOC0044"/>
    <s v="Almond Elegance"/>
    <x v="0"/>
    <n v="8.8800000000000008"/>
    <n v="396"/>
    <n v="3516.48"/>
    <n v="0"/>
    <n v="3516.48"/>
    <x v="1"/>
    <s v="Retail"/>
    <s v="A. Sharma"/>
    <x v="9"/>
  </r>
  <r>
    <s v="ORD00268"/>
    <x v="189"/>
    <s v="CHOC0013"/>
    <s v="Dark Delight"/>
    <x v="2"/>
    <n v="3.36"/>
    <n v="1311"/>
    <n v="4404.96"/>
    <n v="220.25"/>
    <n v="4184.71"/>
    <x v="0"/>
    <s v="Online"/>
    <s v="A. Sharma"/>
    <x v="8"/>
  </r>
  <r>
    <s v="ORD00269"/>
    <x v="25"/>
    <s v="CHOC0130"/>
    <s v="Choco Fusion"/>
    <x v="5"/>
    <n v="2.3199999999999998"/>
    <n v="1326"/>
    <n v="3076.32"/>
    <n v="461.45"/>
    <n v="2614.87"/>
    <x v="4"/>
    <s v="Retail"/>
    <s v="A. Sharma"/>
    <x v="11"/>
  </r>
  <r>
    <s v="ORD00270"/>
    <x v="59"/>
    <s v="CHOC0142"/>
    <s v="Royal Fudge"/>
    <x v="1"/>
    <n v="1.73"/>
    <n v="1499"/>
    <n v="2593.27"/>
    <n v="259.33"/>
    <n v="2333.94"/>
    <x v="1"/>
    <s v="Distributor"/>
    <s v="A. Sharma"/>
    <x v="7"/>
  </r>
  <r>
    <s v="ORD00271"/>
    <x v="190"/>
    <s v="CHOC0179"/>
    <s v="Royal Fudge"/>
    <x v="3"/>
    <n v="2.94"/>
    <n v="217"/>
    <n v="637.98"/>
    <n v="31.9"/>
    <n v="606.08000000000004"/>
    <x v="3"/>
    <s v="Online"/>
    <s v="K. Patel"/>
    <x v="7"/>
  </r>
  <r>
    <s v="ORD00272"/>
    <x v="88"/>
    <s v="CHOC0065"/>
    <s v="Silk Sensation"/>
    <x v="5"/>
    <n v="12.23"/>
    <n v="181"/>
    <n v="2213.63"/>
    <n v="221.36"/>
    <n v="1992.27"/>
    <x v="4"/>
    <s v="Supermarket"/>
    <s v="K. Patel"/>
    <x v="7"/>
  </r>
  <r>
    <s v="ORD00273"/>
    <x v="191"/>
    <s v="CHOC0179"/>
    <s v="Choco Supreme"/>
    <x v="5"/>
    <n v="10.73"/>
    <n v="1756"/>
    <n v="18841.88"/>
    <n v="0"/>
    <n v="18841.88"/>
    <x v="0"/>
    <s v="Retail"/>
    <s v="S. Nair"/>
    <x v="3"/>
  </r>
  <r>
    <s v="ORD00274"/>
    <x v="52"/>
    <s v="CHOC0097"/>
    <s v="White Pearl"/>
    <x v="2"/>
    <n v="2.2599999999999998"/>
    <n v="39"/>
    <n v="88.14"/>
    <n v="4.41"/>
    <n v="83.73"/>
    <x v="0"/>
    <s v="Supermarket"/>
    <s v="S. Nair"/>
    <x v="5"/>
  </r>
  <r>
    <s v="ORD00275"/>
    <x v="95"/>
    <s v="CHOC0085"/>
    <s v="Lava Bite"/>
    <x v="1"/>
    <n v="13.58"/>
    <n v="1902"/>
    <n v="25829.16"/>
    <n v="0"/>
    <n v="25829.16"/>
    <x v="3"/>
    <s v="Online"/>
    <s v="M. Khan"/>
    <x v="0"/>
  </r>
  <r>
    <s v="ORD00276"/>
    <x v="192"/>
    <s v="CHOC0122"/>
    <s v="Berry Infusion"/>
    <x v="1"/>
    <n v="13.98"/>
    <n v="1421"/>
    <n v="19865.580000000002"/>
    <n v="1986.56"/>
    <n v="17879.02"/>
    <x v="1"/>
    <s v="Retail"/>
    <s v="R. Mehta"/>
    <x v="10"/>
  </r>
  <r>
    <s v="ORD00277"/>
    <x v="193"/>
    <s v="CHOC0005"/>
    <s v="Velvet Truffle"/>
    <x v="4"/>
    <n v="3.45"/>
    <n v="1700"/>
    <n v="5865"/>
    <n v="879.75"/>
    <n v="4985.25"/>
    <x v="0"/>
    <s v="Distributor"/>
    <s v="R. Mehta"/>
    <x v="9"/>
  </r>
  <r>
    <s v="ORD00278"/>
    <x v="121"/>
    <s v="CHOC0062"/>
    <s v="Lava Bite"/>
    <x v="2"/>
    <n v="10.64"/>
    <n v="1127"/>
    <n v="11991.28"/>
    <n v="1199.1300000000001"/>
    <n v="10792.15"/>
    <x v="4"/>
    <s v="Online"/>
    <s v="M. Khan"/>
    <x v="10"/>
  </r>
  <r>
    <s v="ORD00279"/>
    <x v="4"/>
    <s v="CHOC0129"/>
    <s v="Silk Sensation"/>
    <x v="1"/>
    <n v="2.82"/>
    <n v="495"/>
    <n v="1395.9"/>
    <n v="0"/>
    <n v="1395.9"/>
    <x v="2"/>
    <s v="Supermarket"/>
    <s v="P. Iyer"/>
    <x v="2"/>
  </r>
  <r>
    <s v="ORD00280"/>
    <x v="194"/>
    <s v="CHOC0163"/>
    <s v="Berry Infusion"/>
    <x v="2"/>
    <n v="8.1199999999999992"/>
    <n v="748"/>
    <n v="6073.76"/>
    <n v="911.06"/>
    <n v="5162.7"/>
    <x v="4"/>
    <s v="Online"/>
    <s v="M. Khan"/>
    <x v="4"/>
  </r>
  <r>
    <s v="ORD00281"/>
    <x v="186"/>
    <s v="CHOC0170"/>
    <s v="Classic Cocoa"/>
    <x v="1"/>
    <n v="11.92"/>
    <n v="624"/>
    <n v="7438.08"/>
    <n v="371.9"/>
    <n v="7066.18"/>
    <x v="0"/>
    <s v="Retail"/>
    <s v="P. Iyer"/>
    <x v="10"/>
  </r>
  <r>
    <s v="ORD00282"/>
    <x v="55"/>
    <s v="CHOC0098"/>
    <s v="Almond Elegance"/>
    <x v="0"/>
    <n v="6.76"/>
    <n v="758"/>
    <n v="5124.08"/>
    <n v="0"/>
    <n v="5124.08"/>
    <x v="0"/>
    <s v="Retail"/>
    <s v="P. Iyer"/>
    <x v="6"/>
  </r>
  <r>
    <s v="ORD00283"/>
    <x v="143"/>
    <s v="CHOC0093"/>
    <s v="Berry Infusion"/>
    <x v="1"/>
    <n v="3.29"/>
    <n v="403"/>
    <n v="1325.87"/>
    <n v="198.88"/>
    <n v="1126.99"/>
    <x v="4"/>
    <s v="Supermarket"/>
    <s v="A. Sharma"/>
    <x v="1"/>
  </r>
  <r>
    <s v="ORD00284"/>
    <x v="57"/>
    <s v="CHOC0023"/>
    <s v="Silk Sensation"/>
    <x v="4"/>
    <n v="2.76"/>
    <n v="1244"/>
    <n v="3433.44"/>
    <n v="343.34"/>
    <n v="3090.1"/>
    <x v="4"/>
    <s v="Retail"/>
    <s v="P. Iyer"/>
    <x v="4"/>
  </r>
  <r>
    <s v="ORD00285"/>
    <x v="108"/>
    <s v="CHOC0100"/>
    <s v="Hazelnut Heaven"/>
    <x v="0"/>
    <n v="13.67"/>
    <n v="1873"/>
    <n v="25603.91"/>
    <n v="1280.2"/>
    <n v="24323.71"/>
    <x v="1"/>
    <s v="Online"/>
    <s v="M. Khan"/>
    <x v="5"/>
  </r>
  <r>
    <s v="ORD00286"/>
    <x v="52"/>
    <s v="CHOC0044"/>
    <s v="Almond Elegance"/>
    <x v="5"/>
    <n v="5.57"/>
    <n v="1029"/>
    <n v="5731.53"/>
    <n v="286.58"/>
    <n v="5444.95"/>
    <x v="0"/>
    <s v="Online"/>
    <s v="S. Nair"/>
    <x v="5"/>
  </r>
  <r>
    <s v="ORD00287"/>
    <x v="195"/>
    <s v="CHOC0108"/>
    <s v="Minty Magic"/>
    <x v="2"/>
    <n v="12.07"/>
    <n v="759"/>
    <n v="9161.1299999999992"/>
    <n v="916.11"/>
    <n v="8245.02"/>
    <x v="3"/>
    <s v="Supermarket"/>
    <s v="K. Patel"/>
    <x v="3"/>
  </r>
  <r>
    <s v="ORD00288"/>
    <x v="103"/>
    <s v="CHOC0051"/>
    <s v="Choco Fusion"/>
    <x v="1"/>
    <n v="3.33"/>
    <n v="33"/>
    <n v="109.89"/>
    <n v="16.48"/>
    <n v="93.41"/>
    <x v="2"/>
    <s v="Supermarket"/>
    <s v="P. Iyer"/>
    <x v="0"/>
  </r>
  <r>
    <s v="ORD00289"/>
    <x v="196"/>
    <s v="CHOC0086"/>
    <s v="Royal Fudge"/>
    <x v="0"/>
    <n v="14.65"/>
    <n v="298"/>
    <n v="4365.7"/>
    <n v="436.57"/>
    <n v="3929.13"/>
    <x v="2"/>
    <s v="Online"/>
    <s v="S. Nair"/>
    <x v="1"/>
  </r>
  <r>
    <s v="ORD00290"/>
    <x v="185"/>
    <s v="CHOC0046"/>
    <s v="Classic Cocoa"/>
    <x v="5"/>
    <n v="5.43"/>
    <n v="1443"/>
    <n v="7835.49"/>
    <n v="1175.32"/>
    <n v="6660.17"/>
    <x v="1"/>
    <s v="Online"/>
    <s v="P. Iyer"/>
    <x v="9"/>
  </r>
  <r>
    <s v="ORD00291"/>
    <x v="129"/>
    <s v="CHOC0072"/>
    <s v="Classic Cocoa"/>
    <x v="5"/>
    <n v="3.04"/>
    <n v="1174"/>
    <n v="3568.96"/>
    <n v="178.45"/>
    <n v="3390.51"/>
    <x v="1"/>
    <s v="Online"/>
    <s v="M. Khan"/>
    <x v="5"/>
  </r>
  <r>
    <s v="ORD00292"/>
    <x v="187"/>
    <s v="CHOC0007"/>
    <s v="Choco Fusion"/>
    <x v="0"/>
    <n v="4.33"/>
    <n v="1653"/>
    <n v="7157.49"/>
    <n v="715.75"/>
    <n v="6441.74"/>
    <x v="0"/>
    <s v="Supermarket"/>
    <s v="M. Khan"/>
    <x v="10"/>
  </r>
  <r>
    <s v="ORD00293"/>
    <x v="197"/>
    <s v="CHOC0036"/>
    <s v="Minty Magic"/>
    <x v="3"/>
    <n v="4.91"/>
    <n v="335"/>
    <n v="1644.85"/>
    <n v="246.73"/>
    <n v="1398.12"/>
    <x v="4"/>
    <s v="Retail"/>
    <s v="S. Nair"/>
    <x v="7"/>
  </r>
  <r>
    <s v="ORD00294"/>
    <x v="198"/>
    <s v="CHOC0123"/>
    <s v="Lava Bite"/>
    <x v="2"/>
    <n v="8.7100000000000009"/>
    <n v="1911"/>
    <n v="16644.810000000001"/>
    <n v="2496.7199999999998"/>
    <n v="14148.09"/>
    <x v="1"/>
    <s v="Retail"/>
    <s v="P. Iyer"/>
    <x v="0"/>
  </r>
  <r>
    <s v="ORD00295"/>
    <x v="199"/>
    <s v="CHOC0138"/>
    <s v="Choco Luxe"/>
    <x v="0"/>
    <n v="13.84"/>
    <n v="243"/>
    <n v="3363.12"/>
    <n v="168.16"/>
    <n v="3194.96"/>
    <x v="2"/>
    <s v="Online"/>
    <s v="M. Khan"/>
    <x v="8"/>
  </r>
  <r>
    <s v="ORD00296"/>
    <x v="142"/>
    <s v="CHOC0012"/>
    <s v="Lava Bite"/>
    <x v="0"/>
    <n v="10.65"/>
    <n v="838"/>
    <n v="8924.7000000000007"/>
    <n v="892.47"/>
    <n v="8032.23"/>
    <x v="4"/>
    <s v="Retail"/>
    <s v="A. Sharma"/>
    <x v="0"/>
  </r>
  <r>
    <s v="ORD00297"/>
    <x v="90"/>
    <s v="CHOC0067"/>
    <s v="Choco Supreme"/>
    <x v="4"/>
    <n v="11.58"/>
    <n v="1162"/>
    <n v="13455.96"/>
    <n v="672.8"/>
    <n v="12783.16"/>
    <x v="4"/>
    <s v="Distributor"/>
    <s v="S. Nair"/>
    <x v="2"/>
  </r>
  <r>
    <s v="ORD00298"/>
    <x v="62"/>
    <s v="CHOC0198"/>
    <s v="Lava Bite"/>
    <x v="0"/>
    <n v="8.26"/>
    <n v="726"/>
    <n v="5996.76"/>
    <n v="0"/>
    <n v="5996.76"/>
    <x v="4"/>
    <s v="Retail"/>
    <s v="P. Iyer"/>
    <x v="1"/>
  </r>
  <r>
    <s v="ORD00299"/>
    <x v="46"/>
    <s v="CHOC0022"/>
    <s v="Caramel Crunch"/>
    <x v="0"/>
    <n v="3.41"/>
    <n v="658"/>
    <n v="2243.7800000000002"/>
    <n v="224.38"/>
    <n v="2019.4"/>
    <x v="4"/>
    <s v="Online"/>
    <s v="K. Patel"/>
    <x v="1"/>
  </r>
  <r>
    <s v="ORD00300"/>
    <x v="86"/>
    <s v="CHOC0090"/>
    <s v="Crispy Wafer"/>
    <x v="1"/>
    <n v="7.42"/>
    <n v="1446"/>
    <n v="10729.32"/>
    <n v="1609.4"/>
    <n v="9119.92"/>
    <x v="2"/>
    <s v="Retail"/>
    <s v="P. Iyer"/>
    <x v="7"/>
  </r>
  <r>
    <s v="ORD00301"/>
    <x v="137"/>
    <s v="CHOC0182"/>
    <s v="Caramel Crunch"/>
    <x v="1"/>
    <n v="12.96"/>
    <n v="1347"/>
    <n v="17457.12"/>
    <n v="0"/>
    <n v="17457.12"/>
    <x v="3"/>
    <s v="Online"/>
    <s v="K. Patel"/>
    <x v="4"/>
  </r>
  <r>
    <s v="ORD00302"/>
    <x v="43"/>
    <s v="CHOC0142"/>
    <s v="Cocoa Royale"/>
    <x v="5"/>
    <n v="9.06"/>
    <n v="1982"/>
    <n v="17956.919999999998"/>
    <n v="2693.54"/>
    <n v="15263.38"/>
    <x v="3"/>
    <s v="Supermarket"/>
    <s v="M. Khan"/>
    <x v="6"/>
  </r>
  <r>
    <s v="ORD00303"/>
    <x v="181"/>
    <s v="CHOC0048"/>
    <s v="Royal Fudge"/>
    <x v="2"/>
    <n v="1.89"/>
    <n v="1277"/>
    <n v="2413.5300000000002"/>
    <n v="120.68"/>
    <n v="2292.85"/>
    <x v="4"/>
    <s v="Supermarket"/>
    <s v="S. Nair"/>
    <x v="11"/>
  </r>
  <r>
    <s v="ORD00304"/>
    <x v="200"/>
    <s v="CHOC0181"/>
    <s v="Velvet Truffle"/>
    <x v="3"/>
    <n v="5.26"/>
    <n v="1461"/>
    <n v="7684.86"/>
    <n v="0"/>
    <n v="7684.86"/>
    <x v="1"/>
    <s v="Retail"/>
    <s v="K. Patel"/>
    <x v="4"/>
  </r>
  <r>
    <s v="ORD00305"/>
    <x v="139"/>
    <s v="CHOC0094"/>
    <s v="Golden Nougat"/>
    <x v="3"/>
    <n v="7.68"/>
    <n v="557"/>
    <n v="4277.76"/>
    <n v="641.66"/>
    <n v="3636.1"/>
    <x v="1"/>
    <s v="Distributor"/>
    <s v="K. Patel"/>
    <x v="11"/>
  </r>
  <r>
    <s v="ORD00306"/>
    <x v="125"/>
    <s v="CHOC0157"/>
    <s v="Classic Cocoa"/>
    <x v="4"/>
    <n v="3.04"/>
    <n v="740"/>
    <n v="2249.6"/>
    <n v="337.44"/>
    <n v="1912.16"/>
    <x v="1"/>
    <s v="Online"/>
    <s v="M. Khan"/>
    <x v="5"/>
  </r>
  <r>
    <s v="ORD00307"/>
    <x v="201"/>
    <s v="CHOC0077"/>
    <s v="Choco Luxe"/>
    <x v="4"/>
    <n v="2.64"/>
    <n v="294"/>
    <n v="776.16"/>
    <n v="77.62"/>
    <n v="698.54"/>
    <x v="0"/>
    <s v="Online"/>
    <s v="P. Iyer"/>
    <x v="8"/>
  </r>
  <r>
    <s v="ORD00308"/>
    <x v="202"/>
    <s v="CHOC0047"/>
    <s v="Silk Sensation"/>
    <x v="0"/>
    <n v="3.41"/>
    <n v="815"/>
    <n v="2779.15"/>
    <n v="416.87"/>
    <n v="2362.2800000000002"/>
    <x v="1"/>
    <s v="Online"/>
    <s v="K. Patel"/>
    <x v="6"/>
  </r>
  <r>
    <s v="ORD00309"/>
    <x v="92"/>
    <s v="CHOC0109"/>
    <s v="Cocoa Royale"/>
    <x v="2"/>
    <n v="10.08"/>
    <n v="1440"/>
    <n v="14515.2"/>
    <n v="725.76"/>
    <n v="13789.44"/>
    <x v="1"/>
    <s v="Online"/>
    <s v="S. Nair"/>
    <x v="5"/>
  </r>
  <r>
    <s v="ORD00310"/>
    <x v="133"/>
    <s v="CHOC0036"/>
    <s v="Cocoa Royale"/>
    <x v="5"/>
    <n v="12.87"/>
    <n v="1288"/>
    <n v="16576.560000000001"/>
    <n v="0"/>
    <n v="16576.560000000001"/>
    <x v="2"/>
    <s v="Retail"/>
    <s v="S. Nair"/>
    <x v="3"/>
  </r>
  <r>
    <s v="ORD00311"/>
    <x v="203"/>
    <s v="CHOC0050"/>
    <s v="Classic Cocoa"/>
    <x v="4"/>
    <n v="8.32"/>
    <n v="1033"/>
    <n v="8594.56"/>
    <n v="1289.18"/>
    <n v="7305.38"/>
    <x v="4"/>
    <s v="Supermarket"/>
    <s v="M. Khan"/>
    <x v="6"/>
  </r>
  <r>
    <s v="ORD00312"/>
    <x v="143"/>
    <s v="CHOC0126"/>
    <s v="Cocoa Royale"/>
    <x v="1"/>
    <n v="9.1300000000000008"/>
    <n v="1649"/>
    <n v="15055.37"/>
    <n v="752.77"/>
    <n v="14302.6"/>
    <x v="2"/>
    <s v="Retail"/>
    <s v="P. Iyer"/>
    <x v="1"/>
  </r>
  <r>
    <s v="ORD00313"/>
    <x v="97"/>
    <s v="CHOC0138"/>
    <s v="Minty Magic"/>
    <x v="3"/>
    <n v="12.04"/>
    <n v="1178"/>
    <n v="14183.12"/>
    <n v="2127.4699999999998"/>
    <n v="12055.65"/>
    <x v="1"/>
    <s v="Retail"/>
    <s v="K. Patel"/>
    <x v="11"/>
  </r>
  <r>
    <s v="ORD00314"/>
    <x v="73"/>
    <s v="CHOC0069"/>
    <s v="White Pearl"/>
    <x v="5"/>
    <n v="8.82"/>
    <n v="1569"/>
    <n v="13838.58"/>
    <n v="0"/>
    <n v="13838.58"/>
    <x v="4"/>
    <s v="Online"/>
    <s v="S. Nair"/>
    <x v="2"/>
  </r>
  <r>
    <s v="ORD00315"/>
    <x v="204"/>
    <s v="CHOC0189"/>
    <s v="Choco Supreme"/>
    <x v="5"/>
    <n v="13.31"/>
    <n v="86"/>
    <n v="1144.6600000000001"/>
    <n v="171.7"/>
    <n v="972.96"/>
    <x v="2"/>
    <s v="Distributor"/>
    <s v="A. Sharma"/>
    <x v="2"/>
  </r>
  <r>
    <s v="ORD00316"/>
    <x v="82"/>
    <s v="CHOC0031"/>
    <s v="Choco Supreme"/>
    <x v="3"/>
    <n v="12.44"/>
    <n v="1224"/>
    <n v="15226.56"/>
    <n v="1522.66"/>
    <n v="13703.9"/>
    <x v="1"/>
    <s v="Supermarket"/>
    <s v="R. Mehta"/>
    <x v="1"/>
  </r>
  <r>
    <s v="ORD00317"/>
    <x v="103"/>
    <s v="CHOC0036"/>
    <s v="Velvet Truffle"/>
    <x v="3"/>
    <n v="12.37"/>
    <n v="1187"/>
    <n v="14683.19"/>
    <n v="1468.32"/>
    <n v="13214.87"/>
    <x v="1"/>
    <s v="Distributor"/>
    <s v="K. Patel"/>
    <x v="0"/>
  </r>
  <r>
    <s v="ORD00318"/>
    <x v="175"/>
    <s v="CHOC0044"/>
    <s v="Golden Nougat"/>
    <x v="0"/>
    <n v="5.45"/>
    <n v="1192"/>
    <n v="6496.4"/>
    <n v="649.64"/>
    <n v="5846.76"/>
    <x v="1"/>
    <s v="Retail"/>
    <s v="R. Mehta"/>
    <x v="10"/>
  </r>
  <r>
    <s v="ORD00319"/>
    <x v="205"/>
    <s v="CHOC0016"/>
    <s v="Berry Infusion"/>
    <x v="0"/>
    <n v="3.21"/>
    <n v="1793"/>
    <n v="5755.53"/>
    <n v="287.77999999999997"/>
    <n v="5467.75"/>
    <x v="3"/>
    <s v="Online"/>
    <s v="M. Khan"/>
    <x v="5"/>
  </r>
  <r>
    <s v="ORD00320"/>
    <x v="206"/>
    <s v="CHOC0064"/>
    <s v="Classic Cocoa"/>
    <x v="2"/>
    <n v="3.42"/>
    <n v="1315"/>
    <n v="4497.3"/>
    <n v="449.73"/>
    <n v="4047.57"/>
    <x v="4"/>
    <s v="Supermarket"/>
    <s v="S. Nair"/>
    <x v="9"/>
  </r>
  <r>
    <s v="ORD00321"/>
    <x v="207"/>
    <s v="CHOC0163"/>
    <s v="Hazelnut Heaven"/>
    <x v="2"/>
    <n v="8.4600000000000009"/>
    <n v="589"/>
    <n v="4982.9399999999996"/>
    <n v="498.29"/>
    <n v="4484.6499999999996"/>
    <x v="4"/>
    <s v="Supermarket"/>
    <s v="P. Iyer"/>
    <x v="2"/>
  </r>
  <r>
    <s v="ORD00322"/>
    <x v="122"/>
    <s v="CHOC0001"/>
    <s v="Hazelnut Heaven"/>
    <x v="0"/>
    <n v="14.62"/>
    <n v="1320"/>
    <n v="19298.400000000001"/>
    <n v="1929.84"/>
    <n v="17368.560000000001"/>
    <x v="0"/>
    <s v="Supermarket"/>
    <s v="R. Mehta"/>
    <x v="10"/>
  </r>
  <r>
    <s v="ORD00323"/>
    <x v="208"/>
    <s v="CHOC0055"/>
    <s v="Crispy Wafer"/>
    <x v="5"/>
    <n v="5.86"/>
    <n v="600"/>
    <n v="3516"/>
    <n v="351.6"/>
    <n v="3164.4"/>
    <x v="1"/>
    <s v="Online"/>
    <s v="K. Patel"/>
    <x v="1"/>
  </r>
  <r>
    <s v="ORD00324"/>
    <x v="209"/>
    <s v="CHOC0088"/>
    <s v="Milk Bliss"/>
    <x v="1"/>
    <n v="2.84"/>
    <n v="1625"/>
    <n v="4615"/>
    <n v="692.25"/>
    <n v="3922.75"/>
    <x v="0"/>
    <s v="Retail"/>
    <s v="R. Mehta"/>
    <x v="7"/>
  </r>
  <r>
    <s v="ORD00325"/>
    <x v="196"/>
    <s v="CHOC0117"/>
    <s v="Dark Delight"/>
    <x v="2"/>
    <n v="4.2300000000000004"/>
    <n v="1430"/>
    <n v="6048.9"/>
    <n v="302.44"/>
    <n v="5746.46"/>
    <x v="2"/>
    <s v="Online"/>
    <s v="P. Iyer"/>
    <x v="1"/>
  </r>
  <r>
    <s v="ORD00326"/>
    <x v="210"/>
    <s v="CHOC0168"/>
    <s v="Silk Sensation"/>
    <x v="5"/>
    <n v="2.61"/>
    <n v="1380"/>
    <n v="3601.8"/>
    <n v="180.09"/>
    <n v="3421.71"/>
    <x v="0"/>
    <s v="Supermarket"/>
    <s v="M. Khan"/>
    <x v="2"/>
  </r>
  <r>
    <s v="ORD00327"/>
    <x v="66"/>
    <s v="CHOC0186"/>
    <s v="Choco Supreme"/>
    <x v="2"/>
    <n v="10.35"/>
    <n v="1461"/>
    <n v="15121.35"/>
    <n v="0"/>
    <n v="15121.35"/>
    <x v="0"/>
    <s v="Online"/>
    <s v="S. Nair"/>
    <x v="9"/>
  </r>
  <r>
    <s v="ORD00328"/>
    <x v="211"/>
    <s v="CHOC0034"/>
    <s v="Lava Bite"/>
    <x v="3"/>
    <n v="8.51"/>
    <n v="931"/>
    <n v="7922.81"/>
    <n v="0"/>
    <n v="7922.81"/>
    <x v="0"/>
    <s v="Distributor"/>
    <s v="A. Sharma"/>
    <x v="2"/>
  </r>
  <r>
    <s v="ORD00329"/>
    <x v="1"/>
    <s v="CHOC0178"/>
    <s v="Almond Elegance"/>
    <x v="2"/>
    <n v="2.46"/>
    <n v="804"/>
    <n v="1977.84"/>
    <n v="0"/>
    <n v="1977.84"/>
    <x v="0"/>
    <s v="Retail"/>
    <s v="P. Iyer"/>
    <x v="1"/>
  </r>
  <r>
    <s v="ORD00330"/>
    <x v="212"/>
    <s v="CHOC0077"/>
    <s v="Almond Elegance"/>
    <x v="2"/>
    <n v="11.94"/>
    <n v="1562"/>
    <n v="18650.28"/>
    <n v="932.51"/>
    <n v="17717.77"/>
    <x v="3"/>
    <s v="Retail"/>
    <s v="K. Patel"/>
    <x v="5"/>
  </r>
  <r>
    <s v="ORD00331"/>
    <x v="121"/>
    <s v="CHOC0003"/>
    <s v="Choco Luxe"/>
    <x v="0"/>
    <n v="3.72"/>
    <n v="739"/>
    <n v="2749.08"/>
    <n v="137.44999999999999"/>
    <n v="2611.63"/>
    <x v="3"/>
    <s v="Supermarket"/>
    <s v="K. Patel"/>
    <x v="10"/>
  </r>
  <r>
    <s v="ORD00332"/>
    <x v="213"/>
    <s v="CHOC0114"/>
    <s v="Velvet Truffle"/>
    <x v="1"/>
    <n v="13.6"/>
    <n v="306"/>
    <n v="4161.6000000000004"/>
    <n v="0"/>
    <n v="4161.6000000000004"/>
    <x v="1"/>
    <s v="Supermarket"/>
    <s v="P. Iyer"/>
    <x v="8"/>
  </r>
  <r>
    <s v="ORD00333"/>
    <x v="208"/>
    <s v="CHOC0081"/>
    <s v="Almond Elegance"/>
    <x v="3"/>
    <n v="5.24"/>
    <n v="192"/>
    <n v="1006.08"/>
    <n v="50.3"/>
    <n v="955.78"/>
    <x v="1"/>
    <s v="Distributor"/>
    <s v="M. Khan"/>
    <x v="1"/>
  </r>
  <r>
    <s v="ORD00334"/>
    <x v="57"/>
    <s v="CHOC0169"/>
    <s v="Minty Magic"/>
    <x v="3"/>
    <n v="8.49"/>
    <n v="1063"/>
    <n v="9024.8700000000008"/>
    <n v="451.24"/>
    <n v="8573.6299999999992"/>
    <x v="4"/>
    <s v="Distributor"/>
    <s v="M. Khan"/>
    <x v="4"/>
  </r>
  <r>
    <s v="ORD00335"/>
    <x v="214"/>
    <s v="CHOC0062"/>
    <s v="Crispy Wafer"/>
    <x v="2"/>
    <n v="3.02"/>
    <n v="1043"/>
    <n v="3149.86"/>
    <n v="0"/>
    <n v="3149.86"/>
    <x v="1"/>
    <s v="Retail"/>
    <s v="P. Iyer"/>
    <x v="4"/>
  </r>
  <r>
    <s v="ORD00336"/>
    <x v="215"/>
    <s v="CHOC0034"/>
    <s v="Classic Cocoa"/>
    <x v="4"/>
    <n v="7.18"/>
    <n v="1138"/>
    <n v="8170.84"/>
    <n v="408.54"/>
    <n v="7762.3"/>
    <x v="4"/>
    <s v="Retail"/>
    <s v="A. Sharma"/>
    <x v="9"/>
  </r>
  <r>
    <s v="ORD00337"/>
    <x v="216"/>
    <s v="CHOC0018"/>
    <s v="Dark Delight"/>
    <x v="5"/>
    <n v="4.41"/>
    <n v="1909"/>
    <n v="8418.69"/>
    <n v="0"/>
    <n v="8418.69"/>
    <x v="4"/>
    <s v="Distributor"/>
    <s v="M. Khan"/>
    <x v="10"/>
  </r>
  <r>
    <s v="ORD00338"/>
    <x v="217"/>
    <s v="CHOC0129"/>
    <s v="Royal Fudge"/>
    <x v="2"/>
    <n v="10.97"/>
    <n v="188"/>
    <n v="2062.36"/>
    <n v="103.12"/>
    <n v="1959.24"/>
    <x v="2"/>
    <s v="Retail"/>
    <s v="P. Iyer"/>
    <x v="8"/>
  </r>
  <r>
    <s v="ORD00339"/>
    <x v="4"/>
    <s v="CHOC0131"/>
    <s v="Velvet Truffle"/>
    <x v="3"/>
    <n v="8.74"/>
    <n v="820"/>
    <n v="7166.8"/>
    <n v="0"/>
    <n v="7166.8"/>
    <x v="2"/>
    <s v="Supermarket"/>
    <s v="M. Khan"/>
    <x v="2"/>
  </r>
  <r>
    <s v="ORD00340"/>
    <x v="50"/>
    <s v="CHOC0015"/>
    <s v="Choco Supreme"/>
    <x v="1"/>
    <n v="13.98"/>
    <n v="257"/>
    <n v="3592.86"/>
    <n v="538.92999999999995"/>
    <n v="3053.93"/>
    <x v="1"/>
    <s v="Retail"/>
    <s v="P. Iyer"/>
    <x v="3"/>
  </r>
  <r>
    <s v="ORD00341"/>
    <x v="117"/>
    <s v="CHOC0190"/>
    <s v="Cocoa Royale"/>
    <x v="1"/>
    <n v="1.67"/>
    <n v="301"/>
    <n v="502.67"/>
    <n v="0"/>
    <n v="502.67"/>
    <x v="3"/>
    <s v="Supermarket"/>
    <s v="P. Iyer"/>
    <x v="8"/>
  </r>
  <r>
    <s v="ORD00342"/>
    <x v="218"/>
    <s v="CHOC0133"/>
    <s v="Berry Infusion"/>
    <x v="3"/>
    <n v="6.52"/>
    <n v="1555"/>
    <n v="10138.6"/>
    <n v="1013.86"/>
    <n v="9124.74"/>
    <x v="0"/>
    <s v="Retail"/>
    <s v="P. Iyer"/>
    <x v="7"/>
  </r>
  <r>
    <s v="ORD00343"/>
    <x v="208"/>
    <s v="CHOC0070"/>
    <s v="Mocha Dream"/>
    <x v="1"/>
    <n v="5.05"/>
    <n v="1200"/>
    <n v="6060"/>
    <n v="0"/>
    <n v="6060"/>
    <x v="4"/>
    <s v="Supermarket"/>
    <s v="K. Patel"/>
    <x v="1"/>
  </r>
  <r>
    <s v="ORD00344"/>
    <x v="219"/>
    <s v="CHOC0015"/>
    <s v="Crispy Wafer"/>
    <x v="4"/>
    <n v="3.75"/>
    <n v="342"/>
    <n v="1282.5"/>
    <n v="128.25"/>
    <n v="1154.25"/>
    <x v="0"/>
    <s v="Retail"/>
    <s v="R. Mehta"/>
    <x v="5"/>
  </r>
  <r>
    <s v="ORD00345"/>
    <x v="220"/>
    <s v="CHOC0001"/>
    <s v="Milk Bliss"/>
    <x v="1"/>
    <n v="4.8"/>
    <n v="986"/>
    <n v="4732.8"/>
    <n v="473.28"/>
    <n v="4259.5200000000004"/>
    <x v="4"/>
    <s v="Online"/>
    <s v="R. Mehta"/>
    <x v="7"/>
  </r>
  <r>
    <s v="ORD00346"/>
    <x v="89"/>
    <s v="CHOC0142"/>
    <s v="Royal Fudge"/>
    <x v="3"/>
    <n v="5.84"/>
    <n v="872"/>
    <n v="5092.4799999999996"/>
    <n v="509.25"/>
    <n v="4583.2299999999996"/>
    <x v="2"/>
    <s v="Retail"/>
    <s v="K. Patel"/>
    <x v="4"/>
  </r>
  <r>
    <s v="ORD00347"/>
    <x v="221"/>
    <s v="CHOC0031"/>
    <s v="Mocha Dream"/>
    <x v="0"/>
    <n v="13.68"/>
    <n v="387"/>
    <n v="5294.16"/>
    <n v="264.70999999999998"/>
    <n v="5029.45"/>
    <x v="1"/>
    <s v="Retail"/>
    <s v="S. Nair"/>
    <x v="5"/>
  </r>
  <r>
    <s v="ORD00348"/>
    <x v="5"/>
    <s v="CHOC0120"/>
    <s v="Minty Magic"/>
    <x v="5"/>
    <n v="5.92"/>
    <n v="1152"/>
    <n v="6819.84"/>
    <n v="1022.98"/>
    <n v="5796.86"/>
    <x v="0"/>
    <s v="Distributor"/>
    <s v="R. Mehta"/>
    <x v="2"/>
  </r>
  <r>
    <s v="ORD00349"/>
    <x v="222"/>
    <s v="CHOC0145"/>
    <s v="Minty Magic"/>
    <x v="0"/>
    <n v="9.91"/>
    <n v="970"/>
    <n v="9612.7000000000007"/>
    <n v="961.27"/>
    <n v="8651.43"/>
    <x v="1"/>
    <s v="Supermarket"/>
    <s v="R. Mehta"/>
    <x v="3"/>
  </r>
  <r>
    <s v="ORD00350"/>
    <x v="223"/>
    <s v="CHOC0195"/>
    <s v="Choco Supreme"/>
    <x v="3"/>
    <n v="1.59"/>
    <n v="859"/>
    <n v="1365.81"/>
    <n v="0"/>
    <n v="1365.81"/>
    <x v="3"/>
    <s v="Distributor"/>
    <s v="M. Khan"/>
    <x v="10"/>
  </r>
  <r>
    <s v="ORD00351"/>
    <x v="224"/>
    <s v="CHOC0003"/>
    <s v="Golden Nougat"/>
    <x v="1"/>
    <n v="11.75"/>
    <n v="790"/>
    <n v="9282.5"/>
    <n v="928.25"/>
    <n v="8354.25"/>
    <x v="0"/>
    <s v="Online"/>
    <s v="K. Patel"/>
    <x v="8"/>
  </r>
  <r>
    <s v="ORD00352"/>
    <x v="23"/>
    <s v="CHOC0108"/>
    <s v="Crispy Wafer"/>
    <x v="1"/>
    <n v="14.63"/>
    <n v="311"/>
    <n v="4549.93"/>
    <n v="454.99"/>
    <n v="4094.94"/>
    <x v="0"/>
    <s v="Retail"/>
    <s v="R. Mehta"/>
    <x v="3"/>
  </r>
  <r>
    <s v="ORD00353"/>
    <x v="225"/>
    <s v="CHOC0106"/>
    <s v="Silk Sensation"/>
    <x v="2"/>
    <n v="14.66"/>
    <n v="193"/>
    <n v="2829.38"/>
    <n v="0"/>
    <n v="2829.38"/>
    <x v="1"/>
    <s v="Online"/>
    <s v="M. Khan"/>
    <x v="7"/>
  </r>
  <r>
    <s v="ORD00354"/>
    <x v="158"/>
    <s v="CHOC0020"/>
    <s v="Lava Bite"/>
    <x v="4"/>
    <n v="2.34"/>
    <n v="1376"/>
    <n v="3219.84"/>
    <n v="160.99"/>
    <n v="3058.85"/>
    <x v="3"/>
    <s v="Distributor"/>
    <s v="P. Iyer"/>
    <x v="5"/>
  </r>
  <r>
    <s v="ORD00355"/>
    <x v="193"/>
    <s v="CHOC0101"/>
    <s v="Golden Nougat"/>
    <x v="5"/>
    <n v="7.61"/>
    <n v="498"/>
    <n v="3789.78"/>
    <n v="0"/>
    <n v="3789.78"/>
    <x v="3"/>
    <s v="Online"/>
    <s v="K. Patel"/>
    <x v="9"/>
  </r>
  <r>
    <s v="ORD00356"/>
    <x v="226"/>
    <s v="CHOC0040"/>
    <s v="Caramel Crunch"/>
    <x v="3"/>
    <n v="7.57"/>
    <n v="663"/>
    <n v="5018.91"/>
    <n v="752.84"/>
    <n v="4266.07"/>
    <x v="0"/>
    <s v="Distributor"/>
    <s v="R. Mehta"/>
    <x v="2"/>
  </r>
  <r>
    <s v="ORD00357"/>
    <x v="227"/>
    <s v="CHOC0079"/>
    <s v="Choco Fusion"/>
    <x v="5"/>
    <n v="13.01"/>
    <n v="205"/>
    <n v="2667.05"/>
    <n v="133.35"/>
    <n v="2533.6999999999998"/>
    <x v="2"/>
    <s v="Retail"/>
    <s v="R. Mehta"/>
    <x v="1"/>
  </r>
  <r>
    <s v="ORD00358"/>
    <x v="173"/>
    <s v="CHOC0038"/>
    <s v="Hazelnut Heaven"/>
    <x v="0"/>
    <n v="4.8499999999999996"/>
    <n v="748"/>
    <n v="3627.8"/>
    <n v="544.16999999999996"/>
    <n v="3083.63"/>
    <x v="1"/>
    <s v="Retail"/>
    <s v="M. Khan"/>
    <x v="9"/>
  </r>
  <r>
    <s v="ORD00359"/>
    <x v="228"/>
    <s v="CHOC0067"/>
    <s v="Cocoa Royale"/>
    <x v="1"/>
    <n v="14.35"/>
    <n v="1770"/>
    <n v="25399.5"/>
    <n v="3809.92"/>
    <n v="21589.58"/>
    <x v="1"/>
    <s v="Online"/>
    <s v="A. Sharma"/>
    <x v="9"/>
  </r>
  <r>
    <s v="ORD00360"/>
    <x v="22"/>
    <s v="CHOC0027"/>
    <s v="Almond Elegance"/>
    <x v="1"/>
    <n v="1.66"/>
    <n v="1720"/>
    <n v="2855.2"/>
    <n v="142.76"/>
    <n v="2712.44"/>
    <x v="3"/>
    <s v="Online"/>
    <s v="S. Nair"/>
    <x v="1"/>
  </r>
  <r>
    <s v="ORD00361"/>
    <x v="221"/>
    <s v="CHOC0176"/>
    <s v="Hazelnut Heaven"/>
    <x v="4"/>
    <n v="9.41"/>
    <n v="1898"/>
    <n v="17860.18"/>
    <n v="0"/>
    <n v="17860.18"/>
    <x v="0"/>
    <s v="Retail"/>
    <s v="R. Mehta"/>
    <x v="5"/>
  </r>
  <r>
    <s v="ORD00362"/>
    <x v="95"/>
    <s v="CHOC0114"/>
    <s v="Almond Elegance"/>
    <x v="1"/>
    <n v="13.72"/>
    <n v="1718"/>
    <n v="23570.959999999999"/>
    <n v="2357.1"/>
    <n v="21213.86"/>
    <x v="0"/>
    <s v="Retail"/>
    <s v="S. Nair"/>
    <x v="0"/>
  </r>
  <r>
    <s v="ORD00363"/>
    <x v="153"/>
    <s v="CHOC0044"/>
    <s v="Lava Bite"/>
    <x v="2"/>
    <n v="12.59"/>
    <n v="828"/>
    <n v="10424.52"/>
    <n v="1563.68"/>
    <n v="8860.84"/>
    <x v="0"/>
    <s v="Supermarket"/>
    <s v="M. Khan"/>
    <x v="4"/>
  </r>
  <r>
    <s v="ORD00364"/>
    <x v="229"/>
    <s v="CHOC0045"/>
    <s v="Silk Sensation"/>
    <x v="3"/>
    <n v="13.76"/>
    <n v="583"/>
    <n v="8022.08"/>
    <n v="802.21"/>
    <n v="7219.87"/>
    <x v="4"/>
    <s v="Online"/>
    <s v="A. Sharma"/>
    <x v="1"/>
  </r>
  <r>
    <s v="ORD00365"/>
    <x v="135"/>
    <s v="CHOC0159"/>
    <s v="Choco Luxe"/>
    <x v="3"/>
    <n v="10.24"/>
    <n v="1041"/>
    <n v="10659.84"/>
    <n v="1598.98"/>
    <n v="9060.86"/>
    <x v="1"/>
    <s v="Supermarket"/>
    <s v="A. Sharma"/>
    <x v="0"/>
  </r>
  <r>
    <s v="ORD00366"/>
    <x v="230"/>
    <s v="CHOC0072"/>
    <s v="Classic Cocoa"/>
    <x v="3"/>
    <n v="7.16"/>
    <n v="1336"/>
    <n v="9565.76"/>
    <n v="478.29"/>
    <n v="9087.4699999999993"/>
    <x v="1"/>
    <s v="Retail"/>
    <s v="S. Nair"/>
    <x v="2"/>
  </r>
  <r>
    <s v="ORD00367"/>
    <x v="231"/>
    <s v="CHOC0123"/>
    <s v="White Pearl"/>
    <x v="2"/>
    <n v="6.14"/>
    <n v="1178"/>
    <n v="7232.92"/>
    <n v="723.29"/>
    <n v="6509.63"/>
    <x v="4"/>
    <s v="Distributor"/>
    <s v="R. Mehta"/>
    <x v="5"/>
  </r>
  <r>
    <s v="ORD00368"/>
    <x v="57"/>
    <s v="CHOC0082"/>
    <s v="Choco Luxe"/>
    <x v="3"/>
    <n v="1.9"/>
    <n v="1680"/>
    <n v="3192"/>
    <n v="319.2"/>
    <n v="2872.8"/>
    <x v="0"/>
    <s v="Supermarket"/>
    <s v="K. Patel"/>
    <x v="4"/>
  </r>
  <r>
    <s v="ORD00369"/>
    <x v="231"/>
    <s v="CHOC0197"/>
    <s v="Lava Bite"/>
    <x v="3"/>
    <n v="14.65"/>
    <n v="225"/>
    <n v="3296.25"/>
    <n v="164.81"/>
    <n v="3131.44"/>
    <x v="3"/>
    <s v="Distributor"/>
    <s v="K. Patel"/>
    <x v="5"/>
  </r>
  <r>
    <s v="ORD00370"/>
    <x v="146"/>
    <s v="CHOC0196"/>
    <s v="Choco Supreme"/>
    <x v="4"/>
    <n v="12.93"/>
    <n v="1653"/>
    <n v="21373.29"/>
    <n v="3205.99"/>
    <n v="18167.3"/>
    <x v="2"/>
    <s v="Online"/>
    <s v="R. Mehta"/>
    <x v="4"/>
  </r>
  <r>
    <s v="ORD00371"/>
    <x v="23"/>
    <s v="CHOC0152"/>
    <s v="Golden Nougat"/>
    <x v="0"/>
    <n v="10.92"/>
    <n v="1891"/>
    <n v="20649.72"/>
    <n v="0"/>
    <n v="20649.72"/>
    <x v="2"/>
    <s v="Online"/>
    <s v="K. Patel"/>
    <x v="3"/>
  </r>
  <r>
    <s v="ORD00372"/>
    <x v="232"/>
    <s v="CHOC0127"/>
    <s v="White Pearl"/>
    <x v="5"/>
    <n v="3.87"/>
    <n v="97"/>
    <n v="375.39"/>
    <n v="0"/>
    <n v="375.39"/>
    <x v="0"/>
    <s v="Online"/>
    <s v="K. Patel"/>
    <x v="11"/>
  </r>
  <r>
    <s v="ORD00373"/>
    <x v="53"/>
    <s v="CHOC0006"/>
    <s v="Mocha Dream"/>
    <x v="2"/>
    <n v="1.51"/>
    <n v="1899"/>
    <n v="2867.49"/>
    <n v="143.37"/>
    <n v="2724.12"/>
    <x v="3"/>
    <s v="Distributor"/>
    <s v="M. Khan"/>
    <x v="11"/>
  </r>
  <r>
    <s v="ORD00374"/>
    <x v="233"/>
    <s v="CHOC0083"/>
    <s v="Milk Bliss"/>
    <x v="1"/>
    <n v="3.49"/>
    <n v="1463"/>
    <n v="5105.87"/>
    <n v="255.29"/>
    <n v="4850.58"/>
    <x v="0"/>
    <s v="Distributor"/>
    <s v="A. Sharma"/>
    <x v="11"/>
  </r>
  <r>
    <s v="ORD00375"/>
    <x v="234"/>
    <s v="CHOC0181"/>
    <s v="Classic Cocoa"/>
    <x v="4"/>
    <n v="2.86"/>
    <n v="638"/>
    <n v="1824.68"/>
    <n v="182.47"/>
    <n v="1642.21"/>
    <x v="3"/>
    <s v="Online"/>
    <s v="M. Khan"/>
    <x v="5"/>
  </r>
  <r>
    <s v="ORD00376"/>
    <x v="61"/>
    <s v="CHOC0164"/>
    <s v="Crispy Wafer"/>
    <x v="0"/>
    <n v="5.78"/>
    <n v="1468"/>
    <n v="8485.0400000000009"/>
    <n v="848.5"/>
    <n v="7636.54"/>
    <x v="3"/>
    <s v="Online"/>
    <s v="S. Nair"/>
    <x v="1"/>
  </r>
  <r>
    <s v="ORD00377"/>
    <x v="74"/>
    <s v="CHOC0188"/>
    <s v="Minty Magic"/>
    <x v="3"/>
    <n v="3.9"/>
    <n v="23"/>
    <n v="89.7"/>
    <n v="13.46"/>
    <n v="76.239999999999995"/>
    <x v="1"/>
    <s v="Retail"/>
    <s v="R. Mehta"/>
    <x v="9"/>
  </r>
  <r>
    <s v="ORD00378"/>
    <x v="235"/>
    <s v="CHOC0082"/>
    <s v="Choco Luxe"/>
    <x v="3"/>
    <n v="10.14"/>
    <n v="233"/>
    <n v="2362.62"/>
    <n v="354.39"/>
    <n v="2008.23"/>
    <x v="3"/>
    <s v="Distributor"/>
    <s v="M. Khan"/>
    <x v="0"/>
  </r>
  <r>
    <s v="ORD00379"/>
    <x v="211"/>
    <s v="CHOC0061"/>
    <s v="Silk Sensation"/>
    <x v="5"/>
    <n v="3.77"/>
    <n v="1833"/>
    <n v="6910.41"/>
    <n v="0"/>
    <n v="6910.41"/>
    <x v="2"/>
    <s v="Supermarket"/>
    <s v="A. Sharma"/>
    <x v="2"/>
  </r>
  <r>
    <s v="ORD00380"/>
    <x v="28"/>
    <s v="CHOC0054"/>
    <s v="Choco Supreme"/>
    <x v="0"/>
    <n v="2.42"/>
    <n v="545"/>
    <n v="1318.9"/>
    <n v="0"/>
    <n v="1318.9"/>
    <x v="0"/>
    <s v="Retail"/>
    <s v="S. Nair"/>
    <x v="3"/>
  </r>
  <r>
    <s v="ORD00381"/>
    <x v="82"/>
    <s v="CHOC0188"/>
    <s v="Royal Fudge"/>
    <x v="3"/>
    <n v="13.44"/>
    <n v="1029"/>
    <n v="13829.76"/>
    <n v="2074.46"/>
    <n v="11755.3"/>
    <x v="2"/>
    <s v="Supermarket"/>
    <s v="A. Sharma"/>
    <x v="1"/>
  </r>
  <r>
    <s v="ORD00382"/>
    <x v="69"/>
    <s v="CHOC0148"/>
    <s v="Choco Supreme"/>
    <x v="3"/>
    <n v="7.59"/>
    <n v="1656"/>
    <n v="12569.04"/>
    <n v="0"/>
    <n v="12569.04"/>
    <x v="2"/>
    <s v="Retail"/>
    <s v="P. Iyer"/>
    <x v="7"/>
  </r>
  <r>
    <s v="ORD00383"/>
    <x v="236"/>
    <s v="CHOC0027"/>
    <s v="Hazelnut Heaven"/>
    <x v="5"/>
    <n v="3.8"/>
    <n v="788"/>
    <n v="2994.4"/>
    <n v="149.72"/>
    <n v="2844.68"/>
    <x v="0"/>
    <s v="Retail"/>
    <s v="P. Iyer"/>
    <x v="3"/>
  </r>
  <r>
    <s v="ORD00384"/>
    <x v="237"/>
    <s v="CHOC0158"/>
    <s v="Crispy Wafer"/>
    <x v="0"/>
    <n v="1.92"/>
    <n v="1950"/>
    <n v="3744"/>
    <n v="187.2"/>
    <n v="3556.8"/>
    <x v="1"/>
    <s v="Supermarket"/>
    <s v="R. Mehta"/>
    <x v="0"/>
  </r>
  <r>
    <s v="ORD00385"/>
    <x v="214"/>
    <s v="CHOC0026"/>
    <s v="Golden Nougat"/>
    <x v="3"/>
    <n v="14.65"/>
    <n v="858"/>
    <n v="12569.7"/>
    <n v="1256.97"/>
    <n v="11312.73"/>
    <x v="2"/>
    <s v="Distributor"/>
    <s v="R. Mehta"/>
    <x v="4"/>
  </r>
  <r>
    <s v="ORD00386"/>
    <x v="3"/>
    <s v="CHOC0013"/>
    <s v="Classic Cocoa"/>
    <x v="4"/>
    <n v="8.92"/>
    <n v="1025"/>
    <n v="9143"/>
    <n v="457.15"/>
    <n v="8685.85"/>
    <x v="0"/>
    <s v="Distributor"/>
    <s v="A. Sharma"/>
    <x v="2"/>
  </r>
  <r>
    <s v="ORD00387"/>
    <x v="229"/>
    <s v="CHOC0023"/>
    <s v="Minty Magic"/>
    <x v="0"/>
    <n v="9.94"/>
    <n v="1003"/>
    <n v="9969.82"/>
    <n v="498.49"/>
    <n v="9471.33"/>
    <x v="0"/>
    <s v="Retail"/>
    <s v="R. Mehta"/>
    <x v="1"/>
  </r>
  <r>
    <s v="ORD00388"/>
    <x v="238"/>
    <s v="CHOC0164"/>
    <s v="Minty Magic"/>
    <x v="1"/>
    <n v="7.89"/>
    <n v="256"/>
    <n v="2019.84"/>
    <n v="201.98"/>
    <n v="1817.86"/>
    <x v="4"/>
    <s v="Supermarket"/>
    <s v="S. Nair"/>
    <x v="6"/>
  </r>
  <r>
    <s v="ORD00389"/>
    <x v="179"/>
    <s v="CHOC0068"/>
    <s v="Hazelnut Heaven"/>
    <x v="0"/>
    <n v="8.85"/>
    <n v="398"/>
    <n v="3522.3"/>
    <n v="352.23"/>
    <n v="3170.07"/>
    <x v="4"/>
    <s v="Distributor"/>
    <s v="R. Mehta"/>
    <x v="8"/>
  </r>
  <r>
    <s v="ORD00390"/>
    <x v="49"/>
    <s v="CHOC0012"/>
    <s v="Berry Infusion"/>
    <x v="2"/>
    <n v="7.78"/>
    <n v="483"/>
    <n v="3757.74"/>
    <n v="375.77"/>
    <n v="3381.97"/>
    <x v="1"/>
    <s v="Retail"/>
    <s v="R. Mehta"/>
    <x v="1"/>
  </r>
  <r>
    <s v="ORD00391"/>
    <x v="239"/>
    <s v="CHOC0171"/>
    <s v="Caramel Crunch"/>
    <x v="1"/>
    <n v="10.52"/>
    <n v="1675"/>
    <n v="17621"/>
    <n v="2643.15"/>
    <n v="14977.85"/>
    <x v="1"/>
    <s v="Online"/>
    <s v="K. Patel"/>
    <x v="8"/>
  </r>
  <r>
    <s v="ORD00392"/>
    <x v="240"/>
    <s v="CHOC0100"/>
    <s v="Mocha Dream"/>
    <x v="2"/>
    <n v="14.54"/>
    <n v="1427"/>
    <n v="20748.580000000002"/>
    <n v="3112.29"/>
    <n v="17636.29"/>
    <x v="1"/>
    <s v="Online"/>
    <s v="S. Nair"/>
    <x v="2"/>
  </r>
  <r>
    <s v="ORD00393"/>
    <x v="228"/>
    <s v="CHOC0021"/>
    <s v="Classic Cocoa"/>
    <x v="0"/>
    <n v="1.97"/>
    <n v="1189"/>
    <n v="2342.33"/>
    <n v="117.12"/>
    <n v="2225.21"/>
    <x v="0"/>
    <s v="Supermarket"/>
    <s v="R. Mehta"/>
    <x v="9"/>
  </r>
  <r>
    <s v="ORD00394"/>
    <x v="56"/>
    <s v="CHOC0055"/>
    <s v="Velvet Truffle"/>
    <x v="3"/>
    <n v="2.08"/>
    <n v="180"/>
    <n v="374.4"/>
    <n v="56.16"/>
    <n v="318.24"/>
    <x v="3"/>
    <s v="Online"/>
    <s v="K. Patel"/>
    <x v="6"/>
  </r>
  <r>
    <s v="ORD00395"/>
    <x v="241"/>
    <s v="CHOC0082"/>
    <s v="Hazelnut Heaven"/>
    <x v="1"/>
    <n v="6.74"/>
    <n v="833"/>
    <n v="5614.42"/>
    <n v="561.44000000000005"/>
    <n v="5052.9799999999996"/>
    <x v="2"/>
    <s v="Supermarket"/>
    <s v="A. Sharma"/>
    <x v="3"/>
  </r>
  <r>
    <s v="ORD00396"/>
    <x v="242"/>
    <s v="CHOC0160"/>
    <s v="Lava Bite"/>
    <x v="4"/>
    <n v="12.05"/>
    <n v="250"/>
    <n v="3012.5"/>
    <n v="451.88"/>
    <n v="2560.62"/>
    <x v="3"/>
    <s v="Online"/>
    <s v="K. Patel"/>
    <x v="8"/>
  </r>
  <r>
    <s v="ORD00397"/>
    <x v="243"/>
    <s v="CHOC0150"/>
    <s v="Caramel Crunch"/>
    <x v="1"/>
    <n v="9.1"/>
    <n v="226"/>
    <n v="2056.6"/>
    <n v="205.66"/>
    <n v="1850.94"/>
    <x v="1"/>
    <s v="Distributor"/>
    <s v="S. Nair"/>
    <x v="10"/>
  </r>
  <r>
    <s v="ORD00398"/>
    <x v="28"/>
    <s v="CHOC0099"/>
    <s v="Crispy Wafer"/>
    <x v="4"/>
    <n v="9.7200000000000006"/>
    <n v="96"/>
    <n v="933.12"/>
    <n v="46.66"/>
    <n v="886.46"/>
    <x v="2"/>
    <s v="Supermarket"/>
    <s v="R. Mehta"/>
    <x v="3"/>
  </r>
  <r>
    <s v="ORD00399"/>
    <x v="115"/>
    <s v="CHOC0156"/>
    <s v="Classic Cocoa"/>
    <x v="1"/>
    <n v="6.84"/>
    <n v="1820"/>
    <n v="12448.8"/>
    <n v="1244.8800000000001"/>
    <n v="11203.92"/>
    <x v="3"/>
    <s v="Retail"/>
    <s v="M. Khan"/>
    <x v="0"/>
  </r>
  <r>
    <s v="ORD00400"/>
    <x v="244"/>
    <s v="CHOC0069"/>
    <s v="Silk Sensation"/>
    <x v="1"/>
    <n v="6.06"/>
    <n v="1645"/>
    <n v="9968.7000000000007"/>
    <n v="996.87"/>
    <n v="8971.83"/>
    <x v="2"/>
    <s v="Distributor"/>
    <s v="S. Nair"/>
    <x v="7"/>
  </r>
  <r>
    <s v="ORD00401"/>
    <x v="239"/>
    <s v="CHOC0176"/>
    <s v="Caramel Crunch"/>
    <x v="3"/>
    <n v="3.31"/>
    <n v="1543"/>
    <n v="5107.33"/>
    <n v="766.1"/>
    <n v="4341.2299999999996"/>
    <x v="2"/>
    <s v="Distributor"/>
    <s v="M. Khan"/>
    <x v="8"/>
  </r>
  <r>
    <s v="ORD00402"/>
    <x v="245"/>
    <s v="CHOC0155"/>
    <s v="Hazelnut Heaven"/>
    <x v="3"/>
    <n v="7.46"/>
    <n v="1890"/>
    <n v="14099.4"/>
    <n v="2114.91"/>
    <n v="11984.49"/>
    <x v="4"/>
    <s v="Distributor"/>
    <s v="A. Sharma"/>
    <x v="1"/>
  </r>
  <r>
    <s v="ORD00403"/>
    <x v="138"/>
    <s v="CHOC0041"/>
    <s v="Hazelnut Heaven"/>
    <x v="5"/>
    <n v="11.08"/>
    <n v="846"/>
    <n v="9373.68"/>
    <n v="468.68"/>
    <n v="8905"/>
    <x v="1"/>
    <s v="Retail"/>
    <s v="R. Mehta"/>
    <x v="7"/>
  </r>
  <r>
    <s v="ORD00404"/>
    <x v="246"/>
    <s v="CHOC0052"/>
    <s v="Milk Bliss"/>
    <x v="3"/>
    <n v="1.95"/>
    <n v="123"/>
    <n v="239.85"/>
    <n v="23.98"/>
    <n v="215.87"/>
    <x v="3"/>
    <s v="Distributor"/>
    <s v="P. Iyer"/>
    <x v="11"/>
  </r>
  <r>
    <s v="ORD00405"/>
    <x v="62"/>
    <s v="CHOC0130"/>
    <s v="Classic Cocoa"/>
    <x v="0"/>
    <n v="13.96"/>
    <n v="1415"/>
    <n v="19753.400000000001"/>
    <n v="0"/>
    <n v="19753.400000000001"/>
    <x v="3"/>
    <s v="Distributor"/>
    <s v="S. Nair"/>
    <x v="1"/>
  </r>
  <r>
    <s v="ORD00406"/>
    <x v="237"/>
    <s v="CHOC0115"/>
    <s v="Cocoa Royale"/>
    <x v="2"/>
    <n v="9.42"/>
    <n v="736"/>
    <n v="6933.12"/>
    <n v="693.31"/>
    <n v="6239.81"/>
    <x v="3"/>
    <s v="Distributor"/>
    <s v="M. Khan"/>
    <x v="0"/>
  </r>
  <r>
    <s v="ORD00407"/>
    <x v="247"/>
    <s v="CHOC0024"/>
    <s v="Minty Magic"/>
    <x v="1"/>
    <n v="6.72"/>
    <n v="353"/>
    <n v="2372.16"/>
    <n v="118.61"/>
    <n v="2253.5500000000002"/>
    <x v="3"/>
    <s v="Online"/>
    <s v="M. Khan"/>
    <x v="8"/>
  </r>
  <r>
    <s v="ORD00408"/>
    <x v="177"/>
    <s v="CHOC0069"/>
    <s v="Royal Fudge"/>
    <x v="4"/>
    <n v="1.77"/>
    <n v="1618"/>
    <n v="2863.86"/>
    <n v="0"/>
    <n v="2863.86"/>
    <x v="4"/>
    <s v="Online"/>
    <s v="M. Khan"/>
    <x v="11"/>
  </r>
  <r>
    <s v="ORD00409"/>
    <x v="248"/>
    <s v="CHOC0154"/>
    <s v="Dark Delight"/>
    <x v="3"/>
    <n v="4.91"/>
    <n v="1668"/>
    <n v="8189.88"/>
    <n v="818.99"/>
    <n v="7370.89"/>
    <x v="2"/>
    <s v="Supermarket"/>
    <s v="S. Nair"/>
    <x v="6"/>
  </r>
  <r>
    <s v="ORD00410"/>
    <x v="78"/>
    <s v="CHOC0118"/>
    <s v="Berry Infusion"/>
    <x v="3"/>
    <n v="7.8"/>
    <n v="1406"/>
    <n v="10966.8"/>
    <n v="1645.02"/>
    <n v="9321.7800000000007"/>
    <x v="1"/>
    <s v="Retail"/>
    <s v="A. Sharma"/>
    <x v="9"/>
  </r>
  <r>
    <s v="ORD00411"/>
    <x v="40"/>
    <s v="CHOC0170"/>
    <s v="Silk Sensation"/>
    <x v="4"/>
    <n v="10.24"/>
    <n v="1267"/>
    <n v="12974.08"/>
    <n v="1297.4100000000001"/>
    <n v="11676.67"/>
    <x v="2"/>
    <s v="Retail"/>
    <s v="S. Nair"/>
    <x v="7"/>
  </r>
  <r>
    <s v="ORD00412"/>
    <x v="100"/>
    <s v="CHOC0087"/>
    <s v="Berry Infusion"/>
    <x v="0"/>
    <n v="5.89"/>
    <n v="587"/>
    <n v="3457.43"/>
    <n v="345.74"/>
    <n v="3111.69"/>
    <x v="2"/>
    <s v="Online"/>
    <s v="R. Mehta"/>
    <x v="2"/>
  </r>
  <r>
    <s v="ORD00413"/>
    <x v="249"/>
    <s v="CHOC0196"/>
    <s v="Choco Supreme"/>
    <x v="1"/>
    <n v="12.37"/>
    <n v="1663"/>
    <n v="20571.310000000001"/>
    <n v="3085.7"/>
    <n v="17485.61"/>
    <x v="2"/>
    <s v="Online"/>
    <s v="M. Khan"/>
    <x v="7"/>
  </r>
  <r>
    <s v="ORD00414"/>
    <x v="57"/>
    <s v="CHOC0168"/>
    <s v="Crispy Wafer"/>
    <x v="5"/>
    <n v="5"/>
    <n v="877"/>
    <n v="4385"/>
    <n v="657.75"/>
    <n v="3727.25"/>
    <x v="4"/>
    <s v="Retail"/>
    <s v="K. Patel"/>
    <x v="4"/>
  </r>
  <r>
    <s v="ORD00415"/>
    <x v="250"/>
    <s v="CHOC0147"/>
    <s v="Velvet Truffle"/>
    <x v="5"/>
    <n v="11.31"/>
    <n v="475"/>
    <n v="5372.25"/>
    <n v="805.84"/>
    <n v="4566.41"/>
    <x v="2"/>
    <s v="Distributor"/>
    <s v="R. Mehta"/>
    <x v="8"/>
  </r>
  <r>
    <s v="ORD00416"/>
    <x v="251"/>
    <s v="CHOC0143"/>
    <s v="Cocoa Royale"/>
    <x v="5"/>
    <n v="2.82"/>
    <n v="282"/>
    <n v="795.24"/>
    <n v="79.52"/>
    <n v="715.72"/>
    <x v="1"/>
    <s v="Online"/>
    <s v="M. Khan"/>
    <x v="8"/>
  </r>
  <r>
    <s v="ORD00417"/>
    <x v="252"/>
    <s v="CHOC0168"/>
    <s v="Hazelnut Heaven"/>
    <x v="3"/>
    <n v="6.3"/>
    <n v="1544"/>
    <n v="9727.2000000000007"/>
    <n v="972.72"/>
    <n v="8754.48"/>
    <x v="4"/>
    <s v="Distributor"/>
    <s v="P. Iyer"/>
    <x v="9"/>
  </r>
  <r>
    <s v="ORD00418"/>
    <x v="236"/>
    <s v="CHOC0150"/>
    <s v="Minty Magic"/>
    <x v="2"/>
    <n v="12.99"/>
    <n v="983"/>
    <n v="12769.17"/>
    <n v="0"/>
    <n v="12769.17"/>
    <x v="1"/>
    <s v="Retail"/>
    <s v="S. Nair"/>
    <x v="3"/>
  </r>
  <r>
    <s v="ORD00419"/>
    <x v="253"/>
    <s v="CHOC0129"/>
    <s v="Caramel Crunch"/>
    <x v="0"/>
    <n v="6.65"/>
    <n v="631"/>
    <n v="4196.1499999999996"/>
    <n v="629.41999999999996"/>
    <n v="3566.73"/>
    <x v="0"/>
    <s v="Online"/>
    <s v="R. Mehta"/>
    <x v="11"/>
  </r>
  <r>
    <s v="ORD00420"/>
    <x v="254"/>
    <s v="CHOC0088"/>
    <s v="Royal Fudge"/>
    <x v="4"/>
    <n v="13.55"/>
    <n v="957"/>
    <n v="12967.35"/>
    <n v="648.37"/>
    <n v="12318.98"/>
    <x v="2"/>
    <s v="Online"/>
    <s v="A. Sharma"/>
    <x v="11"/>
  </r>
  <r>
    <s v="ORD00421"/>
    <x v="255"/>
    <s v="CHOC0086"/>
    <s v="Cocoa Royale"/>
    <x v="5"/>
    <n v="10.07"/>
    <n v="29"/>
    <n v="292.02999999999997"/>
    <n v="43.8"/>
    <n v="248.23"/>
    <x v="2"/>
    <s v="Online"/>
    <s v="R. Mehta"/>
    <x v="7"/>
  </r>
  <r>
    <s v="ORD00422"/>
    <x v="151"/>
    <s v="CHOC0196"/>
    <s v="Cocoa Royale"/>
    <x v="2"/>
    <n v="12.1"/>
    <n v="1616"/>
    <n v="19553.599999999999"/>
    <n v="0"/>
    <n v="19553.599999999999"/>
    <x v="3"/>
    <s v="Supermarket"/>
    <s v="M. Khan"/>
    <x v="10"/>
  </r>
  <r>
    <s v="ORD00423"/>
    <x v="208"/>
    <s v="CHOC0104"/>
    <s v="Royal Fudge"/>
    <x v="2"/>
    <n v="6.67"/>
    <n v="97"/>
    <n v="646.99"/>
    <n v="32.35"/>
    <n v="614.64"/>
    <x v="2"/>
    <s v="Retail"/>
    <s v="P. Iyer"/>
    <x v="1"/>
  </r>
  <r>
    <s v="ORD00424"/>
    <x v="15"/>
    <s v="CHOC0049"/>
    <s v="Dark Delight"/>
    <x v="0"/>
    <n v="1.56"/>
    <n v="1522"/>
    <n v="2374.3200000000002"/>
    <n v="118.72"/>
    <n v="2255.6"/>
    <x v="3"/>
    <s v="Distributor"/>
    <s v="P. Iyer"/>
    <x v="7"/>
  </r>
  <r>
    <s v="ORD00425"/>
    <x v="118"/>
    <s v="CHOC0027"/>
    <s v="Classic Cocoa"/>
    <x v="4"/>
    <n v="9.4499999999999993"/>
    <n v="362"/>
    <n v="3420.9"/>
    <n v="0"/>
    <n v="3420.9"/>
    <x v="0"/>
    <s v="Distributor"/>
    <s v="P. Iyer"/>
    <x v="6"/>
  </r>
  <r>
    <s v="ORD00426"/>
    <x v="256"/>
    <s v="CHOC0187"/>
    <s v="Mocha Dream"/>
    <x v="4"/>
    <n v="8.58"/>
    <n v="908"/>
    <n v="7790.64"/>
    <n v="389.53"/>
    <n v="7401.11"/>
    <x v="2"/>
    <s v="Supermarket"/>
    <s v="P. Iyer"/>
    <x v="1"/>
  </r>
  <r>
    <s v="ORD00427"/>
    <x v="232"/>
    <s v="CHOC0043"/>
    <s v="Classic Cocoa"/>
    <x v="1"/>
    <n v="4.58"/>
    <n v="1509"/>
    <n v="6911.22"/>
    <n v="345.56"/>
    <n v="6565.66"/>
    <x v="3"/>
    <s v="Retail"/>
    <s v="K. Patel"/>
    <x v="11"/>
  </r>
  <r>
    <s v="ORD00428"/>
    <x v="107"/>
    <s v="CHOC0044"/>
    <s v="Caramel Crunch"/>
    <x v="5"/>
    <n v="11.1"/>
    <n v="1642"/>
    <n v="18226.2"/>
    <n v="0"/>
    <n v="18226.2"/>
    <x v="4"/>
    <s v="Distributor"/>
    <s v="K. Patel"/>
    <x v="7"/>
  </r>
  <r>
    <s v="ORD00429"/>
    <x v="257"/>
    <s v="CHOC0013"/>
    <s v="Choco Luxe"/>
    <x v="1"/>
    <n v="10.44"/>
    <n v="1358"/>
    <n v="14177.52"/>
    <n v="0"/>
    <n v="14177.52"/>
    <x v="0"/>
    <s v="Retail"/>
    <s v="S. Nair"/>
    <x v="0"/>
  </r>
  <r>
    <s v="ORD00430"/>
    <x v="143"/>
    <s v="CHOC0098"/>
    <s v="Caramel Crunch"/>
    <x v="4"/>
    <n v="4.91"/>
    <n v="1457"/>
    <n v="7153.87"/>
    <n v="357.69"/>
    <n v="6796.18"/>
    <x v="3"/>
    <s v="Retail"/>
    <s v="P. Iyer"/>
    <x v="1"/>
  </r>
  <r>
    <s v="ORD00431"/>
    <x v="258"/>
    <s v="CHOC0170"/>
    <s v="Caramel Crunch"/>
    <x v="0"/>
    <n v="8.52"/>
    <n v="1295"/>
    <n v="11033.4"/>
    <n v="551.66999999999996"/>
    <n v="10481.73"/>
    <x v="4"/>
    <s v="Retail"/>
    <s v="K. Patel"/>
    <x v="1"/>
  </r>
  <r>
    <s v="ORD00432"/>
    <x v="115"/>
    <s v="CHOC0031"/>
    <s v="Minty Magic"/>
    <x v="1"/>
    <n v="12.09"/>
    <n v="1039"/>
    <n v="12561.51"/>
    <n v="628.08000000000004"/>
    <n v="11933.43"/>
    <x v="1"/>
    <s v="Online"/>
    <s v="P. Iyer"/>
    <x v="0"/>
  </r>
  <r>
    <s v="ORD00433"/>
    <x v="218"/>
    <s v="CHOC0052"/>
    <s v="Silk Sensation"/>
    <x v="0"/>
    <n v="7.03"/>
    <n v="348"/>
    <n v="2446.44"/>
    <n v="0"/>
    <n v="2446.44"/>
    <x v="1"/>
    <s v="Supermarket"/>
    <s v="R. Mehta"/>
    <x v="7"/>
  </r>
  <r>
    <s v="ORD00434"/>
    <x v="247"/>
    <s v="CHOC0124"/>
    <s v="Golden Nougat"/>
    <x v="3"/>
    <n v="1.54"/>
    <n v="1395"/>
    <n v="2148.3000000000002"/>
    <n v="0"/>
    <n v="2148.3000000000002"/>
    <x v="0"/>
    <s v="Supermarket"/>
    <s v="R. Mehta"/>
    <x v="8"/>
  </r>
  <r>
    <s v="ORD00435"/>
    <x v="76"/>
    <s v="CHOC0200"/>
    <s v="Mocha Dream"/>
    <x v="1"/>
    <n v="11.27"/>
    <n v="227"/>
    <n v="2558.29"/>
    <n v="255.83"/>
    <n v="2302.46"/>
    <x v="3"/>
    <s v="Supermarket"/>
    <s v="P. Iyer"/>
    <x v="2"/>
  </r>
  <r>
    <s v="ORD00436"/>
    <x v="28"/>
    <s v="CHOC0119"/>
    <s v="Milk Bliss"/>
    <x v="1"/>
    <n v="12.48"/>
    <n v="1810"/>
    <n v="22588.799999999999"/>
    <n v="0"/>
    <n v="22588.799999999999"/>
    <x v="2"/>
    <s v="Distributor"/>
    <s v="M. Khan"/>
    <x v="3"/>
  </r>
  <r>
    <s v="ORD00437"/>
    <x v="185"/>
    <s v="CHOC0110"/>
    <s v="Caramel Crunch"/>
    <x v="1"/>
    <n v="12.99"/>
    <n v="1843"/>
    <n v="23940.57"/>
    <n v="0"/>
    <n v="23940.57"/>
    <x v="0"/>
    <s v="Online"/>
    <s v="M. Khan"/>
    <x v="9"/>
  </r>
  <r>
    <s v="ORD00438"/>
    <x v="183"/>
    <s v="CHOC0044"/>
    <s v="Golden Nougat"/>
    <x v="5"/>
    <n v="13.58"/>
    <n v="1976"/>
    <n v="26834.080000000002"/>
    <n v="2683.41"/>
    <n v="24150.67"/>
    <x v="0"/>
    <s v="Distributor"/>
    <s v="P. Iyer"/>
    <x v="0"/>
  </r>
  <r>
    <s v="ORD00439"/>
    <x v="259"/>
    <s v="CHOC0030"/>
    <s v="Classic Cocoa"/>
    <x v="2"/>
    <n v="14.49"/>
    <n v="576"/>
    <n v="8346.24"/>
    <n v="1251.94"/>
    <n v="7094.3"/>
    <x v="4"/>
    <s v="Supermarket"/>
    <s v="M. Khan"/>
    <x v="11"/>
  </r>
  <r>
    <s v="ORD00440"/>
    <x v="56"/>
    <s v="CHOC0029"/>
    <s v="Almond Elegance"/>
    <x v="0"/>
    <n v="11.31"/>
    <n v="1950"/>
    <n v="22054.5"/>
    <n v="1102.73"/>
    <n v="20951.77"/>
    <x v="0"/>
    <s v="Supermarket"/>
    <s v="K. Patel"/>
    <x v="6"/>
  </r>
  <r>
    <s v="ORD00441"/>
    <x v="86"/>
    <s v="CHOC0146"/>
    <s v="Choco Fusion"/>
    <x v="3"/>
    <n v="9.75"/>
    <n v="1615"/>
    <n v="15746.25"/>
    <n v="1574.62"/>
    <n v="14171.63"/>
    <x v="1"/>
    <s v="Retail"/>
    <s v="M. Khan"/>
    <x v="7"/>
  </r>
  <r>
    <s v="ORD00442"/>
    <x v="118"/>
    <s v="CHOC0124"/>
    <s v="Crispy Wafer"/>
    <x v="1"/>
    <n v="13.48"/>
    <n v="922"/>
    <n v="12428.56"/>
    <n v="0"/>
    <n v="12428.56"/>
    <x v="0"/>
    <s v="Distributor"/>
    <s v="M. Khan"/>
    <x v="6"/>
  </r>
  <r>
    <s v="ORD00443"/>
    <x v="185"/>
    <s v="CHOC0004"/>
    <s v="Mocha Dream"/>
    <x v="0"/>
    <n v="9.2799999999999994"/>
    <n v="1177"/>
    <n v="10922.56"/>
    <n v="546.13"/>
    <n v="10376.43"/>
    <x v="2"/>
    <s v="Retail"/>
    <s v="S. Nair"/>
    <x v="9"/>
  </r>
  <r>
    <s v="ORD00444"/>
    <x v="179"/>
    <s v="CHOC0187"/>
    <s v="Choco Supreme"/>
    <x v="2"/>
    <n v="6.17"/>
    <n v="1405"/>
    <n v="8668.85"/>
    <n v="1300.33"/>
    <n v="7368.52"/>
    <x v="3"/>
    <s v="Retail"/>
    <s v="A. Sharma"/>
    <x v="8"/>
  </r>
  <r>
    <s v="ORD00445"/>
    <x v="9"/>
    <s v="CHOC0041"/>
    <s v="Mocha Dream"/>
    <x v="2"/>
    <n v="13"/>
    <n v="1800"/>
    <n v="23400"/>
    <n v="1170"/>
    <n v="22230"/>
    <x v="0"/>
    <s v="Supermarket"/>
    <s v="P. Iyer"/>
    <x v="0"/>
  </r>
  <r>
    <s v="ORD00446"/>
    <x v="16"/>
    <s v="CHOC0085"/>
    <s v="Berry Infusion"/>
    <x v="1"/>
    <n v="8.34"/>
    <n v="1147"/>
    <n v="9565.98"/>
    <n v="1434.9"/>
    <n v="8131.08"/>
    <x v="4"/>
    <s v="Online"/>
    <s v="A. Sharma"/>
    <x v="3"/>
  </r>
  <r>
    <s v="ORD00447"/>
    <x v="260"/>
    <s v="CHOC0114"/>
    <s v="Lava Bite"/>
    <x v="2"/>
    <n v="2.69"/>
    <n v="1040"/>
    <n v="2797.6"/>
    <n v="419.64"/>
    <n v="2377.96"/>
    <x v="2"/>
    <s v="Retail"/>
    <s v="S. Nair"/>
    <x v="1"/>
  </r>
  <r>
    <s v="ORD00448"/>
    <x v="261"/>
    <s v="CHOC0005"/>
    <s v="Caramel Crunch"/>
    <x v="2"/>
    <n v="7.07"/>
    <n v="1161"/>
    <n v="8208.27"/>
    <n v="0"/>
    <n v="8208.27"/>
    <x v="0"/>
    <s v="Distributor"/>
    <s v="K. Patel"/>
    <x v="8"/>
  </r>
  <r>
    <s v="ORD00449"/>
    <x v="182"/>
    <s v="CHOC0053"/>
    <s v="Choco Fusion"/>
    <x v="5"/>
    <n v="6.41"/>
    <n v="131"/>
    <n v="839.71"/>
    <n v="41.99"/>
    <n v="797.72"/>
    <x v="4"/>
    <s v="Distributor"/>
    <s v="K. Patel"/>
    <x v="10"/>
  </r>
  <r>
    <s v="ORD00450"/>
    <x v="262"/>
    <s v="CHOC0154"/>
    <s v="Crispy Wafer"/>
    <x v="0"/>
    <n v="10.37"/>
    <n v="1486"/>
    <n v="15409.82"/>
    <n v="2311.4699999999998"/>
    <n v="13098.35"/>
    <x v="0"/>
    <s v="Retail"/>
    <s v="M. Khan"/>
    <x v="0"/>
  </r>
  <r>
    <s v="ORD00451"/>
    <x v="263"/>
    <s v="CHOC0001"/>
    <s v="Golden Nougat"/>
    <x v="5"/>
    <n v="12.7"/>
    <n v="1995"/>
    <n v="25336.5"/>
    <n v="2533.65"/>
    <n v="22802.85"/>
    <x v="1"/>
    <s v="Distributor"/>
    <s v="M. Khan"/>
    <x v="11"/>
  </r>
  <r>
    <s v="ORD00452"/>
    <x v="14"/>
    <s v="CHOC0012"/>
    <s v="Cocoa Royale"/>
    <x v="2"/>
    <n v="3.4"/>
    <n v="1488"/>
    <n v="5059.2"/>
    <n v="758.88"/>
    <n v="4300.32"/>
    <x v="0"/>
    <s v="Distributor"/>
    <s v="K. Patel"/>
    <x v="2"/>
  </r>
  <r>
    <s v="ORD00453"/>
    <x v="264"/>
    <s v="CHOC0049"/>
    <s v="Caramel Crunch"/>
    <x v="2"/>
    <n v="4.41"/>
    <n v="1708"/>
    <n v="7532.28"/>
    <n v="376.61"/>
    <n v="7155.67"/>
    <x v="2"/>
    <s v="Retail"/>
    <s v="S. Nair"/>
    <x v="11"/>
  </r>
  <r>
    <s v="ORD00454"/>
    <x v="265"/>
    <s v="CHOC0163"/>
    <s v="Lava Bite"/>
    <x v="1"/>
    <n v="11.92"/>
    <n v="942"/>
    <n v="11228.64"/>
    <n v="1684.3"/>
    <n v="9544.34"/>
    <x v="1"/>
    <s v="Online"/>
    <s v="S. Nair"/>
    <x v="4"/>
  </r>
  <r>
    <s v="ORD00455"/>
    <x v="200"/>
    <s v="CHOC0136"/>
    <s v="Milk Bliss"/>
    <x v="4"/>
    <n v="14.13"/>
    <n v="1737"/>
    <n v="24543.81"/>
    <n v="3681.57"/>
    <n v="20862.240000000002"/>
    <x v="1"/>
    <s v="Online"/>
    <s v="M. Khan"/>
    <x v="4"/>
  </r>
  <r>
    <s v="ORD00456"/>
    <x v="266"/>
    <s v="CHOC0045"/>
    <s v="Almond Elegance"/>
    <x v="1"/>
    <n v="6.73"/>
    <n v="1249"/>
    <n v="8405.77"/>
    <n v="840.58"/>
    <n v="7565.19"/>
    <x v="1"/>
    <s v="Supermarket"/>
    <s v="S. Nair"/>
    <x v="10"/>
  </r>
  <r>
    <s v="ORD00457"/>
    <x v="267"/>
    <s v="CHOC0178"/>
    <s v="Choco Supreme"/>
    <x v="5"/>
    <n v="6.87"/>
    <n v="722"/>
    <n v="4960.1400000000003"/>
    <n v="496.01"/>
    <n v="4464.13"/>
    <x v="4"/>
    <s v="Online"/>
    <s v="R. Mehta"/>
    <x v="0"/>
  </r>
  <r>
    <s v="ORD00458"/>
    <x v="108"/>
    <s v="CHOC0155"/>
    <s v="Mocha Dream"/>
    <x v="5"/>
    <n v="12.88"/>
    <n v="1141"/>
    <n v="14696.08"/>
    <n v="1469.61"/>
    <n v="13226.47"/>
    <x v="1"/>
    <s v="Online"/>
    <s v="R. Mehta"/>
    <x v="5"/>
  </r>
  <r>
    <s v="ORD00459"/>
    <x v="268"/>
    <s v="CHOC0160"/>
    <s v="Minty Magic"/>
    <x v="0"/>
    <n v="6.16"/>
    <n v="1397"/>
    <n v="8605.52"/>
    <n v="430.28"/>
    <n v="8175.24"/>
    <x v="3"/>
    <s v="Distributor"/>
    <s v="M. Khan"/>
    <x v="11"/>
  </r>
  <r>
    <s v="ORD00460"/>
    <x v="202"/>
    <s v="CHOC0195"/>
    <s v="Silk Sensation"/>
    <x v="4"/>
    <n v="7.98"/>
    <n v="1188"/>
    <n v="9480.24"/>
    <n v="1422.04"/>
    <n v="8058.2"/>
    <x v="1"/>
    <s v="Distributor"/>
    <s v="S. Nair"/>
    <x v="6"/>
  </r>
  <r>
    <s v="ORD00461"/>
    <x v="269"/>
    <s v="CHOC0134"/>
    <s v="Caramel Crunch"/>
    <x v="1"/>
    <n v="6.64"/>
    <n v="128"/>
    <n v="849.92"/>
    <n v="0"/>
    <n v="849.92"/>
    <x v="3"/>
    <s v="Distributor"/>
    <s v="R. Mehta"/>
    <x v="4"/>
  </r>
  <r>
    <s v="ORD00462"/>
    <x v="270"/>
    <s v="CHOC0175"/>
    <s v="Berry Infusion"/>
    <x v="3"/>
    <n v="12.83"/>
    <n v="1434"/>
    <n v="18398.22"/>
    <n v="1839.82"/>
    <n v="16558.400000000001"/>
    <x v="3"/>
    <s v="Retail"/>
    <s v="P. Iyer"/>
    <x v="3"/>
  </r>
  <r>
    <s v="ORD00463"/>
    <x v="227"/>
    <s v="CHOC0027"/>
    <s v="Choco Luxe"/>
    <x v="0"/>
    <n v="11.48"/>
    <n v="1791"/>
    <n v="20560.68"/>
    <n v="1028.03"/>
    <n v="19532.650000000001"/>
    <x v="1"/>
    <s v="Supermarket"/>
    <s v="R. Mehta"/>
    <x v="1"/>
  </r>
  <r>
    <s v="ORD00464"/>
    <x v="40"/>
    <s v="CHOC0179"/>
    <s v="Minty Magic"/>
    <x v="0"/>
    <n v="10.47"/>
    <n v="1917"/>
    <n v="20070.990000000002"/>
    <n v="3010.65"/>
    <n v="17060.34"/>
    <x v="4"/>
    <s v="Supermarket"/>
    <s v="M. Khan"/>
    <x v="7"/>
  </r>
  <r>
    <s v="ORD00465"/>
    <x v="185"/>
    <s v="CHOC0142"/>
    <s v="Milk Bliss"/>
    <x v="1"/>
    <n v="11.54"/>
    <n v="435"/>
    <n v="5019.8999999999996"/>
    <n v="752.98"/>
    <n v="4266.92"/>
    <x v="3"/>
    <s v="Distributor"/>
    <s v="K. Patel"/>
    <x v="9"/>
  </r>
  <r>
    <s v="ORD00466"/>
    <x v="223"/>
    <s v="CHOC0190"/>
    <s v="Choco Luxe"/>
    <x v="3"/>
    <n v="11.98"/>
    <n v="1994"/>
    <n v="23888.12"/>
    <n v="1194.4100000000001"/>
    <n v="22693.71"/>
    <x v="2"/>
    <s v="Supermarket"/>
    <s v="R. Mehta"/>
    <x v="10"/>
  </r>
  <r>
    <s v="ORD00467"/>
    <x v="35"/>
    <s v="CHOC0020"/>
    <s v="Cocoa Royale"/>
    <x v="3"/>
    <n v="11.42"/>
    <n v="264"/>
    <n v="3014.88"/>
    <n v="452.23"/>
    <n v="2562.65"/>
    <x v="0"/>
    <s v="Supermarket"/>
    <s v="P. Iyer"/>
    <x v="8"/>
  </r>
  <r>
    <s v="ORD00468"/>
    <x v="271"/>
    <s v="CHOC0068"/>
    <s v="Almond Elegance"/>
    <x v="3"/>
    <n v="9.3800000000000008"/>
    <n v="542"/>
    <n v="5083.96"/>
    <n v="0"/>
    <n v="5083.96"/>
    <x v="2"/>
    <s v="Supermarket"/>
    <s v="M. Khan"/>
    <x v="10"/>
  </r>
  <r>
    <s v="ORD00469"/>
    <x v="128"/>
    <s v="CHOC0011"/>
    <s v="Almond Elegance"/>
    <x v="5"/>
    <n v="9.56"/>
    <n v="1604"/>
    <n v="15334.24"/>
    <n v="1533.42"/>
    <n v="13800.82"/>
    <x v="4"/>
    <s v="Distributor"/>
    <s v="A. Sharma"/>
    <x v="6"/>
  </r>
  <r>
    <s v="ORD00470"/>
    <x v="250"/>
    <s v="CHOC0082"/>
    <s v="Mocha Dream"/>
    <x v="3"/>
    <n v="14.42"/>
    <n v="1086"/>
    <n v="15660.12"/>
    <n v="0"/>
    <n v="15660.12"/>
    <x v="1"/>
    <s v="Online"/>
    <s v="S. Nair"/>
    <x v="8"/>
  </r>
  <r>
    <s v="ORD00471"/>
    <x v="168"/>
    <s v="CHOC0138"/>
    <s v="Classic Cocoa"/>
    <x v="1"/>
    <n v="6.22"/>
    <n v="1829"/>
    <n v="11376.38"/>
    <n v="568.82000000000005"/>
    <n v="10807.56"/>
    <x v="2"/>
    <s v="Distributor"/>
    <s v="P. Iyer"/>
    <x v="10"/>
  </r>
  <r>
    <s v="ORD00472"/>
    <x v="91"/>
    <s v="CHOC0056"/>
    <s v="Choco Luxe"/>
    <x v="4"/>
    <n v="7.91"/>
    <n v="1169"/>
    <n v="9246.7900000000009"/>
    <n v="0"/>
    <n v="9246.7900000000009"/>
    <x v="0"/>
    <s v="Distributor"/>
    <s v="S. Nair"/>
    <x v="3"/>
  </r>
  <r>
    <s v="ORD00473"/>
    <x v="16"/>
    <s v="CHOC0165"/>
    <s v="Choco Luxe"/>
    <x v="4"/>
    <n v="4.79"/>
    <n v="101"/>
    <n v="483.79"/>
    <n v="48.38"/>
    <n v="435.41"/>
    <x v="4"/>
    <s v="Retail"/>
    <s v="S. Nair"/>
    <x v="3"/>
  </r>
  <r>
    <s v="ORD00474"/>
    <x v="96"/>
    <s v="CHOC0139"/>
    <s v="Minty Magic"/>
    <x v="1"/>
    <n v="13.8"/>
    <n v="1703"/>
    <n v="23501.4"/>
    <n v="2350.14"/>
    <n v="21151.26"/>
    <x v="1"/>
    <s v="Supermarket"/>
    <s v="S. Nair"/>
    <x v="3"/>
  </r>
  <r>
    <s v="ORD00475"/>
    <x v="137"/>
    <s v="CHOC0076"/>
    <s v="Velvet Truffle"/>
    <x v="5"/>
    <n v="8.44"/>
    <n v="1961"/>
    <n v="16550.84"/>
    <n v="0"/>
    <n v="16550.84"/>
    <x v="3"/>
    <s v="Retail"/>
    <s v="M. Khan"/>
    <x v="4"/>
  </r>
  <r>
    <s v="ORD00476"/>
    <x v="272"/>
    <s v="CHOC0054"/>
    <s v="Velvet Truffle"/>
    <x v="0"/>
    <n v="7.23"/>
    <n v="232"/>
    <n v="1677.36"/>
    <n v="83.87"/>
    <n v="1593.49"/>
    <x v="1"/>
    <s v="Supermarket"/>
    <s v="M. Khan"/>
    <x v="2"/>
  </r>
  <r>
    <s v="ORD00477"/>
    <x v="273"/>
    <s v="CHOC0192"/>
    <s v="Almond Elegance"/>
    <x v="1"/>
    <n v="7.7"/>
    <n v="699"/>
    <n v="5382.3"/>
    <n v="0"/>
    <n v="5382.3"/>
    <x v="0"/>
    <s v="Retail"/>
    <s v="A. Sharma"/>
    <x v="2"/>
  </r>
  <r>
    <s v="ORD00478"/>
    <x v="39"/>
    <s v="CHOC0065"/>
    <s v="White Pearl"/>
    <x v="1"/>
    <n v="9.26"/>
    <n v="486"/>
    <n v="4500.3599999999997"/>
    <n v="450.04"/>
    <n v="4050.32"/>
    <x v="4"/>
    <s v="Supermarket"/>
    <s v="S. Nair"/>
    <x v="11"/>
  </r>
  <r>
    <s v="ORD00479"/>
    <x v="274"/>
    <s v="CHOC0104"/>
    <s v="Royal Fudge"/>
    <x v="5"/>
    <n v="1.73"/>
    <n v="1398"/>
    <n v="2418.54"/>
    <n v="0"/>
    <n v="2418.54"/>
    <x v="1"/>
    <s v="Retail"/>
    <s v="M. Khan"/>
    <x v="0"/>
  </r>
  <r>
    <s v="ORD00480"/>
    <x v="115"/>
    <s v="CHOC0017"/>
    <s v="Lava Bite"/>
    <x v="1"/>
    <n v="10.96"/>
    <n v="168"/>
    <n v="1841.28"/>
    <n v="184.13"/>
    <n v="1657.15"/>
    <x v="1"/>
    <s v="Retail"/>
    <s v="P. Iyer"/>
    <x v="0"/>
  </r>
  <r>
    <s v="ORD00481"/>
    <x v="213"/>
    <s v="CHOC0078"/>
    <s v="Choco Luxe"/>
    <x v="1"/>
    <n v="5.3"/>
    <n v="1917"/>
    <n v="10160.1"/>
    <n v="1524.02"/>
    <n v="8636.08"/>
    <x v="4"/>
    <s v="Supermarket"/>
    <s v="M. Khan"/>
    <x v="8"/>
  </r>
  <r>
    <s v="ORD00482"/>
    <x v="194"/>
    <s v="CHOC0122"/>
    <s v="Cocoa Royale"/>
    <x v="4"/>
    <n v="4.47"/>
    <n v="1549"/>
    <n v="6924.03"/>
    <n v="1038.5999999999999"/>
    <n v="5885.43"/>
    <x v="1"/>
    <s v="Distributor"/>
    <s v="M. Khan"/>
    <x v="4"/>
  </r>
  <r>
    <s v="ORD00483"/>
    <x v="140"/>
    <s v="CHOC0077"/>
    <s v="Silk Sensation"/>
    <x v="1"/>
    <n v="8.9700000000000006"/>
    <n v="1156"/>
    <n v="10369.32"/>
    <n v="518.47"/>
    <n v="9850.85"/>
    <x v="0"/>
    <s v="Retail"/>
    <s v="A. Sharma"/>
    <x v="6"/>
  </r>
  <r>
    <s v="ORD00484"/>
    <x v="275"/>
    <s v="CHOC0153"/>
    <s v="Classic Cocoa"/>
    <x v="4"/>
    <n v="8.89"/>
    <n v="194"/>
    <n v="1724.66"/>
    <n v="172.47"/>
    <n v="1552.19"/>
    <x v="3"/>
    <s v="Distributor"/>
    <s v="R. Mehta"/>
    <x v="10"/>
  </r>
  <r>
    <s v="ORD00485"/>
    <x v="108"/>
    <s v="CHOC0166"/>
    <s v="Mocha Dream"/>
    <x v="3"/>
    <n v="3.67"/>
    <n v="472"/>
    <n v="1732.24"/>
    <n v="173.22"/>
    <n v="1559.02"/>
    <x v="3"/>
    <s v="Retail"/>
    <s v="R. Mehta"/>
    <x v="5"/>
  </r>
  <r>
    <s v="ORD00486"/>
    <x v="102"/>
    <s v="CHOC0146"/>
    <s v="Milk Bliss"/>
    <x v="4"/>
    <n v="7.73"/>
    <n v="1145"/>
    <n v="8850.85"/>
    <n v="0"/>
    <n v="8850.85"/>
    <x v="2"/>
    <s v="Retail"/>
    <s v="P. Iyer"/>
    <x v="8"/>
  </r>
  <r>
    <s v="ORD00487"/>
    <x v="90"/>
    <s v="CHOC0051"/>
    <s v="Lava Bite"/>
    <x v="2"/>
    <n v="14.35"/>
    <n v="751"/>
    <n v="10776.85"/>
    <n v="538.84"/>
    <n v="10238.01"/>
    <x v="3"/>
    <s v="Retail"/>
    <s v="P. Iyer"/>
    <x v="2"/>
  </r>
  <r>
    <s v="ORD00488"/>
    <x v="262"/>
    <s v="CHOC0018"/>
    <s v="Velvet Truffle"/>
    <x v="5"/>
    <n v="8.06"/>
    <n v="692"/>
    <n v="5577.52"/>
    <n v="557.75"/>
    <n v="5019.7700000000004"/>
    <x v="1"/>
    <s v="Online"/>
    <s v="K. Patel"/>
    <x v="0"/>
  </r>
  <r>
    <s v="ORD00489"/>
    <x v="192"/>
    <s v="CHOC0094"/>
    <s v="Golden Nougat"/>
    <x v="2"/>
    <n v="3.78"/>
    <n v="661"/>
    <n v="2498.58"/>
    <n v="124.93"/>
    <n v="2373.65"/>
    <x v="3"/>
    <s v="Supermarket"/>
    <s v="P. Iyer"/>
    <x v="10"/>
  </r>
  <r>
    <s v="ORD00490"/>
    <x v="219"/>
    <s v="CHOC0035"/>
    <s v="Golden Nougat"/>
    <x v="2"/>
    <n v="7.75"/>
    <n v="754"/>
    <n v="5843.5"/>
    <n v="584.35"/>
    <n v="5259.15"/>
    <x v="4"/>
    <s v="Retail"/>
    <s v="R. Mehta"/>
    <x v="5"/>
  </r>
  <r>
    <s v="ORD00491"/>
    <x v="95"/>
    <s v="CHOC0156"/>
    <s v="Hazelnut Heaven"/>
    <x v="5"/>
    <n v="13.09"/>
    <n v="306"/>
    <n v="4005.54"/>
    <n v="200.28"/>
    <n v="3805.26"/>
    <x v="2"/>
    <s v="Retail"/>
    <s v="M. Khan"/>
    <x v="0"/>
  </r>
  <r>
    <s v="ORD00492"/>
    <x v="207"/>
    <s v="CHOC0005"/>
    <s v="Mocha Dream"/>
    <x v="0"/>
    <n v="1.92"/>
    <n v="1211"/>
    <n v="2325.12"/>
    <n v="348.77"/>
    <n v="1976.35"/>
    <x v="1"/>
    <s v="Online"/>
    <s v="A. Sharma"/>
    <x v="2"/>
  </r>
  <r>
    <s v="ORD00493"/>
    <x v="84"/>
    <s v="CHOC0067"/>
    <s v="White Pearl"/>
    <x v="4"/>
    <n v="7.87"/>
    <n v="1607"/>
    <n v="12647.09"/>
    <n v="632.35"/>
    <n v="12014.74"/>
    <x v="2"/>
    <s v="Supermarket"/>
    <s v="R. Mehta"/>
    <x v="10"/>
  </r>
  <r>
    <s v="ORD00494"/>
    <x v="243"/>
    <s v="CHOC0188"/>
    <s v="Minty Magic"/>
    <x v="3"/>
    <n v="7.77"/>
    <n v="1065"/>
    <n v="8275.0499999999993"/>
    <n v="0"/>
    <n v="8275.0499999999993"/>
    <x v="4"/>
    <s v="Distributor"/>
    <s v="K. Patel"/>
    <x v="10"/>
  </r>
  <r>
    <s v="ORD00495"/>
    <x v="12"/>
    <s v="CHOC0170"/>
    <s v="Choco Supreme"/>
    <x v="4"/>
    <n v="10.74"/>
    <n v="1570"/>
    <n v="16861.8"/>
    <n v="843.09"/>
    <n v="16018.71"/>
    <x v="4"/>
    <s v="Online"/>
    <s v="R. Mehta"/>
    <x v="4"/>
  </r>
  <r>
    <s v="ORD00496"/>
    <x v="276"/>
    <s v="CHOC0145"/>
    <s v="Almond Elegance"/>
    <x v="0"/>
    <n v="11.38"/>
    <n v="1943"/>
    <n v="22111.34"/>
    <n v="2211.13"/>
    <n v="19900.21"/>
    <x v="0"/>
    <s v="Online"/>
    <s v="S. Nair"/>
    <x v="10"/>
  </r>
  <r>
    <s v="ORD00497"/>
    <x v="277"/>
    <s v="CHOC0017"/>
    <s v="Berry Infusion"/>
    <x v="5"/>
    <n v="4.66"/>
    <n v="1389"/>
    <n v="6472.74"/>
    <n v="323.64"/>
    <n v="6149.1"/>
    <x v="1"/>
    <s v="Distributor"/>
    <s v="S. Nair"/>
    <x v="11"/>
  </r>
  <r>
    <s v="ORD00498"/>
    <x v="77"/>
    <s v="CHOC0117"/>
    <s v="Milk Bliss"/>
    <x v="1"/>
    <n v="14.74"/>
    <n v="683"/>
    <n v="10067.42"/>
    <n v="0"/>
    <n v="10067.42"/>
    <x v="1"/>
    <s v="Distributor"/>
    <s v="M. Khan"/>
    <x v="1"/>
  </r>
  <r>
    <s v="ORD00499"/>
    <x v="278"/>
    <s v="CHOC0149"/>
    <s v="White Pearl"/>
    <x v="4"/>
    <n v="3.85"/>
    <n v="1358"/>
    <n v="5228.3"/>
    <n v="784.25"/>
    <n v="4444.05"/>
    <x v="2"/>
    <s v="Retail"/>
    <s v="K. Patel"/>
    <x v="3"/>
  </r>
  <r>
    <s v="ORD00500"/>
    <x v="279"/>
    <s v="CHOC0097"/>
    <s v="Choco Supreme"/>
    <x v="4"/>
    <n v="6.98"/>
    <n v="1693"/>
    <n v="11817.14"/>
    <n v="1181.71"/>
    <n v="10635.43"/>
    <x v="4"/>
    <s v="Supermarket"/>
    <s v="K. Patel"/>
    <x v="3"/>
  </r>
  <r>
    <s v="ORD00501"/>
    <x v="280"/>
    <s v="CHOC0129"/>
    <s v="Almond Elegance"/>
    <x v="2"/>
    <n v="3.74"/>
    <n v="177"/>
    <n v="661.98"/>
    <n v="66.2"/>
    <n v="595.78"/>
    <x v="3"/>
    <s v="Online"/>
    <s v="R. Mehta"/>
    <x v="4"/>
  </r>
  <r>
    <s v="ORD00502"/>
    <x v="114"/>
    <s v="CHOC0093"/>
    <s v="Choco Luxe"/>
    <x v="0"/>
    <n v="12.53"/>
    <n v="1373"/>
    <n v="17203.689999999999"/>
    <n v="860.18"/>
    <n v="16343.51"/>
    <x v="4"/>
    <s v="Distributor"/>
    <s v="M. Khan"/>
    <x v="6"/>
  </r>
  <r>
    <s v="ORD00503"/>
    <x v="73"/>
    <s v="CHOC0124"/>
    <s v="Crispy Wafer"/>
    <x v="2"/>
    <n v="4.34"/>
    <n v="350"/>
    <n v="1519"/>
    <n v="227.85"/>
    <n v="1291.1500000000001"/>
    <x v="0"/>
    <s v="Online"/>
    <s v="A. Sharma"/>
    <x v="2"/>
  </r>
  <r>
    <s v="ORD00504"/>
    <x v="281"/>
    <s v="CHOC0147"/>
    <s v="Lava Bite"/>
    <x v="3"/>
    <n v="3.32"/>
    <n v="1069"/>
    <n v="3549.08"/>
    <n v="0"/>
    <n v="3549.08"/>
    <x v="1"/>
    <s v="Online"/>
    <s v="A. Sharma"/>
    <x v="6"/>
  </r>
  <r>
    <s v="ORD00505"/>
    <x v="56"/>
    <s v="CHOC0067"/>
    <s v="Cocoa Royale"/>
    <x v="4"/>
    <n v="14.44"/>
    <n v="1247"/>
    <n v="18006.68"/>
    <n v="0"/>
    <n v="18006.68"/>
    <x v="2"/>
    <s v="Retail"/>
    <s v="R. Mehta"/>
    <x v="6"/>
  </r>
  <r>
    <s v="ORD00506"/>
    <x v="282"/>
    <s v="CHOC0156"/>
    <s v="Crispy Wafer"/>
    <x v="2"/>
    <n v="3.8"/>
    <n v="1720"/>
    <n v="6536"/>
    <n v="980.4"/>
    <n v="5555.6"/>
    <x v="1"/>
    <s v="Online"/>
    <s v="K. Patel"/>
    <x v="1"/>
  </r>
  <r>
    <s v="ORD00507"/>
    <x v="259"/>
    <s v="CHOC0160"/>
    <s v="Mocha Dream"/>
    <x v="5"/>
    <n v="3.76"/>
    <n v="1424"/>
    <n v="5354.24"/>
    <n v="535.41999999999996"/>
    <n v="4818.82"/>
    <x v="4"/>
    <s v="Retail"/>
    <s v="R. Mehta"/>
    <x v="11"/>
  </r>
  <r>
    <s v="ORD00508"/>
    <x v="174"/>
    <s v="CHOC0099"/>
    <s v="Almond Elegance"/>
    <x v="1"/>
    <n v="1.72"/>
    <n v="1090"/>
    <n v="1874.8"/>
    <n v="281.22000000000003"/>
    <n v="1593.58"/>
    <x v="3"/>
    <s v="Retail"/>
    <s v="R. Mehta"/>
    <x v="5"/>
  </r>
  <r>
    <s v="ORD00509"/>
    <x v="244"/>
    <s v="CHOC0158"/>
    <s v="Choco Luxe"/>
    <x v="1"/>
    <n v="13.35"/>
    <n v="1108"/>
    <n v="14791.8"/>
    <n v="0"/>
    <n v="14791.8"/>
    <x v="0"/>
    <s v="Supermarket"/>
    <s v="M. Khan"/>
    <x v="7"/>
  </r>
  <r>
    <s v="ORD00510"/>
    <x v="118"/>
    <s v="CHOC0155"/>
    <s v="White Pearl"/>
    <x v="1"/>
    <n v="13.61"/>
    <n v="1606"/>
    <n v="21857.66"/>
    <n v="3278.65"/>
    <n v="18579.009999999998"/>
    <x v="1"/>
    <s v="Supermarket"/>
    <s v="P. Iyer"/>
    <x v="6"/>
  </r>
  <r>
    <s v="ORD00511"/>
    <x v="137"/>
    <s v="CHOC0179"/>
    <s v="Mocha Dream"/>
    <x v="2"/>
    <n v="4.5999999999999996"/>
    <n v="1663"/>
    <n v="7649.8"/>
    <n v="1147.47"/>
    <n v="6502.33"/>
    <x v="4"/>
    <s v="Distributor"/>
    <s v="K. Patel"/>
    <x v="4"/>
  </r>
  <r>
    <s v="ORD00512"/>
    <x v="239"/>
    <s v="CHOC0148"/>
    <s v="Caramel Crunch"/>
    <x v="2"/>
    <n v="3.31"/>
    <n v="997"/>
    <n v="3300.07"/>
    <n v="165"/>
    <n v="3135.07"/>
    <x v="0"/>
    <s v="Distributor"/>
    <s v="K. Patel"/>
    <x v="8"/>
  </r>
  <r>
    <s v="ORD00513"/>
    <x v="168"/>
    <s v="CHOC0105"/>
    <s v="Berry Infusion"/>
    <x v="3"/>
    <n v="1.57"/>
    <n v="1542"/>
    <n v="2420.94"/>
    <n v="0"/>
    <n v="2420.94"/>
    <x v="1"/>
    <s v="Retail"/>
    <s v="K. Patel"/>
    <x v="10"/>
  </r>
  <r>
    <s v="ORD00514"/>
    <x v="280"/>
    <s v="CHOC0097"/>
    <s v="Velvet Truffle"/>
    <x v="0"/>
    <n v="12.36"/>
    <n v="857"/>
    <n v="10592.52"/>
    <n v="1059.25"/>
    <n v="9533.27"/>
    <x v="0"/>
    <s v="Online"/>
    <s v="S. Nair"/>
    <x v="4"/>
  </r>
  <r>
    <s v="ORD00515"/>
    <x v="166"/>
    <s v="CHOC0150"/>
    <s v="Berry Infusion"/>
    <x v="5"/>
    <n v="13.04"/>
    <n v="887"/>
    <n v="11566.48"/>
    <n v="1156.6500000000001"/>
    <n v="10409.83"/>
    <x v="1"/>
    <s v="Distributor"/>
    <s v="M. Khan"/>
    <x v="0"/>
  </r>
  <r>
    <s v="ORD00516"/>
    <x v="283"/>
    <s v="CHOC0194"/>
    <s v="Velvet Truffle"/>
    <x v="2"/>
    <n v="8.9499999999999993"/>
    <n v="1161"/>
    <n v="10390.950000000001"/>
    <n v="1558.64"/>
    <n v="8832.31"/>
    <x v="3"/>
    <s v="Distributor"/>
    <s v="K. Patel"/>
    <x v="5"/>
  </r>
  <r>
    <s v="ORD00517"/>
    <x v="271"/>
    <s v="CHOC0124"/>
    <s v="Berry Infusion"/>
    <x v="5"/>
    <n v="9.3000000000000007"/>
    <n v="1605"/>
    <n v="14926.5"/>
    <n v="2238.9699999999998"/>
    <n v="12687.53"/>
    <x v="3"/>
    <s v="Retail"/>
    <s v="M. Khan"/>
    <x v="10"/>
  </r>
  <r>
    <s v="ORD00518"/>
    <x v="94"/>
    <s v="CHOC0115"/>
    <s v="Cocoa Royale"/>
    <x v="1"/>
    <n v="4.4000000000000004"/>
    <n v="840"/>
    <n v="3696"/>
    <n v="369.6"/>
    <n v="3326.4"/>
    <x v="1"/>
    <s v="Retail"/>
    <s v="R. Mehta"/>
    <x v="11"/>
  </r>
  <r>
    <s v="ORD00519"/>
    <x v="284"/>
    <s v="CHOC0163"/>
    <s v="Dark Delight"/>
    <x v="1"/>
    <n v="12.61"/>
    <n v="985"/>
    <n v="12420.85"/>
    <n v="1863.13"/>
    <n v="10557.72"/>
    <x v="0"/>
    <s v="Retail"/>
    <s v="P. Iyer"/>
    <x v="5"/>
  </r>
  <r>
    <s v="ORD00520"/>
    <x v="263"/>
    <s v="CHOC0095"/>
    <s v="Hazelnut Heaven"/>
    <x v="4"/>
    <n v="2.0099999999999998"/>
    <n v="807"/>
    <n v="1622.07"/>
    <n v="243.31"/>
    <n v="1378.76"/>
    <x v="1"/>
    <s v="Distributor"/>
    <s v="M. Khan"/>
    <x v="11"/>
  </r>
  <r>
    <s v="ORD00521"/>
    <x v="134"/>
    <s v="CHOC0015"/>
    <s v="Cocoa Royale"/>
    <x v="0"/>
    <n v="8.17"/>
    <n v="41"/>
    <n v="334.97"/>
    <n v="16.75"/>
    <n v="318.22000000000003"/>
    <x v="1"/>
    <s v="Distributor"/>
    <s v="R. Mehta"/>
    <x v="0"/>
  </r>
  <r>
    <s v="ORD00522"/>
    <x v="285"/>
    <s v="CHOC0154"/>
    <s v="Mocha Dream"/>
    <x v="4"/>
    <n v="10.93"/>
    <n v="1279"/>
    <n v="13979.47"/>
    <n v="698.97"/>
    <n v="13280.5"/>
    <x v="0"/>
    <s v="Distributor"/>
    <s v="R. Mehta"/>
    <x v="4"/>
  </r>
  <r>
    <s v="ORD00523"/>
    <x v="47"/>
    <s v="CHOC0001"/>
    <s v="Cocoa Royale"/>
    <x v="1"/>
    <n v="14.96"/>
    <n v="1616"/>
    <n v="24175.360000000001"/>
    <n v="3626.3"/>
    <n v="20549.060000000001"/>
    <x v="2"/>
    <s v="Supermarket"/>
    <s v="S. Nair"/>
    <x v="8"/>
  </r>
  <r>
    <s v="ORD00524"/>
    <x v="216"/>
    <s v="CHOC0052"/>
    <s v="Mocha Dream"/>
    <x v="1"/>
    <n v="11.45"/>
    <n v="160"/>
    <n v="1832"/>
    <n v="0"/>
    <n v="1832"/>
    <x v="1"/>
    <s v="Distributor"/>
    <s v="M. Khan"/>
    <x v="10"/>
  </r>
  <r>
    <s v="ORD00525"/>
    <x v="127"/>
    <s v="CHOC0150"/>
    <s v="Silk Sensation"/>
    <x v="5"/>
    <n v="14.5"/>
    <n v="586"/>
    <n v="8497"/>
    <n v="424.85"/>
    <n v="8072.15"/>
    <x v="1"/>
    <s v="Online"/>
    <s v="S. Nair"/>
    <x v="10"/>
  </r>
  <r>
    <s v="ORD00526"/>
    <x v="80"/>
    <s v="CHOC0148"/>
    <s v="Dark Delight"/>
    <x v="5"/>
    <n v="3.86"/>
    <n v="1056"/>
    <n v="4076.16"/>
    <n v="0"/>
    <n v="4076.16"/>
    <x v="1"/>
    <s v="Retail"/>
    <s v="K. Patel"/>
    <x v="5"/>
  </r>
  <r>
    <s v="ORD00527"/>
    <x v="91"/>
    <s v="CHOC0088"/>
    <s v="Caramel Crunch"/>
    <x v="4"/>
    <n v="14.42"/>
    <n v="1814"/>
    <n v="26157.88"/>
    <n v="2615.79"/>
    <n v="23542.09"/>
    <x v="4"/>
    <s v="Supermarket"/>
    <s v="K. Patel"/>
    <x v="3"/>
  </r>
  <r>
    <s v="ORD00528"/>
    <x v="86"/>
    <s v="CHOC0198"/>
    <s v="Choco Supreme"/>
    <x v="5"/>
    <n v="14.48"/>
    <n v="959"/>
    <n v="13886.32"/>
    <n v="2082.9499999999998"/>
    <n v="11803.37"/>
    <x v="1"/>
    <s v="Retail"/>
    <s v="S. Nair"/>
    <x v="7"/>
  </r>
  <r>
    <s v="ORD00529"/>
    <x v="202"/>
    <s v="CHOC0067"/>
    <s v="Hazelnut Heaven"/>
    <x v="2"/>
    <n v="10.050000000000001"/>
    <n v="471"/>
    <n v="4733.55"/>
    <n v="236.68"/>
    <n v="4496.87"/>
    <x v="2"/>
    <s v="Supermarket"/>
    <s v="P. Iyer"/>
    <x v="6"/>
  </r>
  <r>
    <s v="ORD00530"/>
    <x v="249"/>
    <s v="CHOC0138"/>
    <s v="Dark Delight"/>
    <x v="0"/>
    <n v="12.73"/>
    <n v="528"/>
    <n v="6721.44"/>
    <n v="672.14"/>
    <n v="6049.3"/>
    <x v="0"/>
    <s v="Supermarket"/>
    <s v="M. Khan"/>
    <x v="7"/>
  </r>
  <r>
    <s v="ORD00531"/>
    <x v="162"/>
    <s v="CHOC0020"/>
    <s v="White Pearl"/>
    <x v="3"/>
    <n v="7.93"/>
    <n v="744"/>
    <n v="5899.92"/>
    <n v="295"/>
    <n v="5604.92"/>
    <x v="1"/>
    <s v="Distributor"/>
    <s v="R. Mehta"/>
    <x v="9"/>
  </r>
  <r>
    <s v="ORD00532"/>
    <x v="35"/>
    <s v="CHOC0049"/>
    <s v="Crispy Wafer"/>
    <x v="0"/>
    <n v="4.2"/>
    <n v="1526"/>
    <n v="6409.2"/>
    <n v="320.45999999999998"/>
    <n v="6088.74"/>
    <x v="2"/>
    <s v="Online"/>
    <s v="R. Mehta"/>
    <x v="8"/>
  </r>
  <r>
    <s v="ORD00533"/>
    <x v="164"/>
    <s v="CHOC0064"/>
    <s v="Choco Luxe"/>
    <x v="5"/>
    <n v="3.61"/>
    <n v="238"/>
    <n v="859.18"/>
    <n v="0"/>
    <n v="859.18"/>
    <x v="0"/>
    <s v="Supermarket"/>
    <s v="K. Patel"/>
    <x v="11"/>
  </r>
  <r>
    <s v="ORD00534"/>
    <x v="280"/>
    <s v="CHOC0196"/>
    <s v="White Pearl"/>
    <x v="1"/>
    <n v="12.95"/>
    <n v="780"/>
    <n v="10101"/>
    <n v="1010.1"/>
    <n v="9090.9"/>
    <x v="4"/>
    <s v="Distributor"/>
    <s v="S. Nair"/>
    <x v="4"/>
  </r>
  <r>
    <s v="ORD00535"/>
    <x v="259"/>
    <s v="CHOC0196"/>
    <s v="Mocha Dream"/>
    <x v="5"/>
    <n v="6.87"/>
    <n v="1556"/>
    <n v="10689.72"/>
    <n v="534.49"/>
    <n v="10155.23"/>
    <x v="0"/>
    <s v="Supermarket"/>
    <s v="S. Nair"/>
    <x v="11"/>
  </r>
  <r>
    <s v="ORD00536"/>
    <x v="75"/>
    <s v="CHOC0009"/>
    <s v="Mocha Dream"/>
    <x v="5"/>
    <n v="6.82"/>
    <n v="1425"/>
    <n v="9718.5"/>
    <n v="485.93"/>
    <n v="9232.57"/>
    <x v="4"/>
    <s v="Retail"/>
    <s v="M. Khan"/>
    <x v="10"/>
  </r>
  <r>
    <s v="ORD00537"/>
    <x v="286"/>
    <s v="CHOC0118"/>
    <s v="Golden Nougat"/>
    <x v="0"/>
    <n v="1.61"/>
    <n v="1400"/>
    <n v="2254"/>
    <n v="112.7"/>
    <n v="2141.3000000000002"/>
    <x v="4"/>
    <s v="Retail"/>
    <s v="P. Iyer"/>
    <x v="7"/>
  </r>
  <r>
    <s v="ORD00538"/>
    <x v="81"/>
    <s v="CHOC0157"/>
    <s v="Berry Infusion"/>
    <x v="3"/>
    <n v="8.91"/>
    <n v="505"/>
    <n v="4499.55"/>
    <n v="449.96"/>
    <n v="4049.59"/>
    <x v="4"/>
    <s v="Distributor"/>
    <s v="P. Iyer"/>
    <x v="5"/>
  </r>
  <r>
    <s v="ORD00539"/>
    <x v="181"/>
    <s v="CHOC0128"/>
    <s v="Royal Fudge"/>
    <x v="3"/>
    <n v="7.16"/>
    <n v="1560"/>
    <n v="11169.6"/>
    <n v="1116.96"/>
    <n v="10052.64"/>
    <x v="2"/>
    <s v="Supermarket"/>
    <s v="P. Iyer"/>
    <x v="11"/>
  </r>
  <r>
    <s v="ORD00540"/>
    <x v="287"/>
    <s v="CHOC0047"/>
    <s v="Lava Bite"/>
    <x v="3"/>
    <n v="14.72"/>
    <n v="1424"/>
    <n v="20961.28"/>
    <n v="1048.06"/>
    <n v="19913.22"/>
    <x v="0"/>
    <s v="Distributor"/>
    <s v="R. Mehta"/>
    <x v="1"/>
  </r>
  <r>
    <s v="ORD00541"/>
    <x v="271"/>
    <s v="CHOC0111"/>
    <s v="Classic Cocoa"/>
    <x v="3"/>
    <n v="3.47"/>
    <n v="1984"/>
    <n v="6884.48"/>
    <n v="344.22"/>
    <n v="6540.26"/>
    <x v="4"/>
    <s v="Retail"/>
    <s v="R. Mehta"/>
    <x v="10"/>
  </r>
  <r>
    <s v="ORD00542"/>
    <x v="258"/>
    <s v="CHOC0128"/>
    <s v="Almond Elegance"/>
    <x v="0"/>
    <n v="8.48"/>
    <n v="1495"/>
    <n v="12677.6"/>
    <n v="1267.76"/>
    <n v="11409.84"/>
    <x v="4"/>
    <s v="Distributor"/>
    <s v="P. Iyer"/>
    <x v="1"/>
  </r>
  <r>
    <s v="ORD00543"/>
    <x v="182"/>
    <s v="CHOC0146"/>
    <s v="Milk Bliss"/>
    <x v="2"/>
    <n v="2.84"/>
    <n v="354"/>
    <n v="1005.36"/>
    <n v="0"/>
    <n v="1005.36"/>
    <x v="3"/>
    <s v="Distributor"/>
    <s v="S. Nair"/>
    <x v="10"/>
  </r>
  <r>
    <s v="ORD00544"/>
    <x v="274"/>
    <s v="CHOC0025"/>
    <s v="Choco Fusion"/>
    <x v="0"/>
    <n v="6.02"/>
    <n v="759"/>
    <n v="4569.18"/>
    <n v="456.92"/>
    <n v="4112.26"/>
    <x v="1"/>
    <s v="Distributor"/>
    <s v="P. Iyer"/>
    <x v="0"/>
  </r>
  <r>
    <s v="ORD00545"/>
    <x v="288"/>
    <s v="CHOC0106"/>
    <s v="Caramel Crunch"/>
    <x v="5"/>
    <n v="13.21"/>
    <n v="1992"/>
    <n v="26314.32"/>
    <n v="1315.72"/>
    <n v="24998.6"/>
    <x v="1"/>
    <s v="Online"/>
    <s v="P. Iyer"/>
    <x v="4"/>
  </r>
  <r>
    <s v="ORD00546"/>
    <x v="289"/>
    <s v="CHOC0084"/>
    <s v="Mocha Dream"/>
    <x v="2"/>
    <n v="11.96"/>
    <n v="935"/>
    <n v="11182.6"/>
    <n v="0"/>
    <n v="11182.6"/>
    <x v="4"/>
    <s v="Distributor"/>
    <s v="S. Nair"/>
    <x v="5"/>
  </r>
  <r>
    <s v="ORD00547"/>
    <x v="290"/>
    <s v="CHOC0038"/>
    <s v="Cocoa Royale"/>
    <x v="0"/>
    <n v="12.4"/>
    <n v="710"/>
    <n v="8804"/>
    <n v="1320.6"/>
    <n v="7483.4"/>
    <x v="1"/>
    <s v="Supermarket"/>
    <s v="A. Sharma"/>
    <x v="0"/>
  </r>
  <r>
    <s v="ORD00548"/>
    <x v="4"/>
    <s v="CHOC0042"/>
    <s v="Golden Nougat"/>
    <x v="3"/>
    <n v="5.73"/>
    <n v="1357"/>
    <n v="7775.61"/>
    <n v="777.56"/>
    <n v="6998.05"/>
    <x v="2"/>
    <s v="Supermarket"/>
    <s v="P. Iyer"/>
    <x v="2"/>
  </r>
  <r>
    <s v="ORD00549"/>
    <x v="143"/>
    <s v="CHOC0200"/>
    <s v="Silk Sensation"/>
    <x v="0"/>
    <n v="9.42"/>
    <n v="1997"/>
    <n v="18811.740000000002"/>
    <n v="2821.76"/>
    <n v="15989.98"/>
    <x v="4"/>
    <s v="Online"/>
    <s v="R. Mehta"/>
    <x v="1"/>
  </r>
  <r>
    <s v="ORD00550"/>
    <x v="152"/>
    <s v="CHOC0033"/>
    <s v="Choco Supreme"/>
    <x v="0"/>
    <n v="4.9000000000000004"/>
    <n v="1543"/>
    <n v="7560.7"/>
    <n v="0"/>
    <n v="7560.7"/>
    <x v="3"/>
    <s v="Online"/>
    <s v="S. Nair"/>
    <x v="4"/>
  </r>
  <r>
    <s v="ORD00551"/>
    <x v="204"/>
    <s v="CHOC0025"/>
    <s v="Hazelnut Heaven"/>
    <x v="2"/>
    <n v="8.9"/>
    <n v="73"/>
    <n v="649.70000000000005"/>
    <n v="97.45"/>
    <n v="552.25"/>
    <x v="1"/>
    <s v="Retail"/>
    <s v="A. Sharma"/>
    <x v="2"/>
  </r>
  <r>
    <s v="ORD00552"/>
    <x v="278"/>
    <s v="CHOC0159"/>
    <s v="Almond Elegance"/>
    <x v="1"/>
    <n v="10.34"/>
    <n v="1833"/>
    <n v="18953.22"/>
    <n v="2842.98"/>
    <n v="16110.24"/>
    <x v="2"/>
    <s v="Online"/>
    <s v="R. Mehta"/>
    <x v="3"/>
  </r>
  <r>
    <s v="ORD00553"/>
    <x v="147"/>
    <s v="CHOC0114"/>
    <s v="Almond Elegance"/>
    <x v="3"/>
    <n v="8.61"/>
    <n v="369"/>
    <n v="3177.09"/>
    <n v="0"/>
    <n v="3177.09"/>
    <x v="0"/>
    <s v="Distributor"/>
    <s v="P. Iyer"/>
    <x v="3"/>
  </r>
  <r>
    <s v="ORD00554"/>
    <x v="244"/>
    <s v="CHOC0120"/>
    <s v="White Pearl"/>
    <x v="5"/>
    <n v="8.91"/>
    <n v="296"/>
    <n v="2637.36"/>
    <n v="131.87"/>
    <n v="2505.4899999999998"/>
    <x v="1"/>
    <s v="Supermarket"/>
    <s v="M. Khan"/>
    <x v="7"/>
  </r>
  <r>
    <s v="ORD00555"/>
    <x v="291"/>
    <s v="CHOC0145"/>
    <s v="Royal Fudge"/>
    <x v="4"/>
    <n v="10.14"/>
    <n v="1113"/>
    <n v="11285.82"/>
    <n v="1128.58"/>
    <n v="10157.24"/>
    <x v="2"/>
    <s v="Supermarket"/>
    <s v="K. Patel"/>
    <x v="0"/>
  </r>
  <r>
    <s v="ORD00556"/>
    <x v="68"/>
    <s v="CHOC0023"/>
    <s v="Choco Fusion"/>
    <x v="5"/>
    <n v="6.44"/>
    <n v="552"/>
    <n v="3554.88"/>
    <n v="177.74"/>
    <n v="3377.14"/>
    <x v="2"/>
    <s v="Retail"/>
    <s v="A. Sharma"/>
    <x v="11"/>
  </r>
  <r>
    <s v="ORD00557"/>
    <x v="218"/>
    <s v="CHOC0195"/>
    <s v="Almond Elegance"/>
    <x v="5"/>
    <n v="5.37"/>
    <n v="1115"/>
    <n v="5987.55"/>
    <n v="0"/>
    <n v="5987.55"/>
    <x v="4"/>
    <s v="Supermarket"/>
    <s v="P. Iyer"/>
    <x v="7"/>
  </r>
  <r>
    <s v="ORD00558"/>
    <x v="292"/>
    <s v="CHOC0197"/>
    <s v="Royal Fudge"/>
    <x v="5"/>
    <n v="9.56"/>
    <n v="1651"/>
    <n v="15783.56"/>
    <n v="0"/>
    <n v="15783.56"/>
    <x v="1"/>
    <s v="Distributor"/>
    <s v="R. Mehta"/>
    <x v="4"/>
  </r>
  <r>
    <s v="ORD00559"/>
    <x v="205"/>
    <s v="CHOC0144"/>
    <s v="Royal Fudge"/>
    <x v="2"/>
    <n v="4.87"/>
    <n v="1484"/>
    <n v="7227.08"/>
    <n v="1084.06"/>
    <n v="6143.02"/>
    <x v="4"/>
    <s v="Online"/>
    <s v="P. Iyer"/>
    <x v="5"/>
  </r>
  <r>
    <s v="ORD00560"/>
    <x v="4"/>
    <s v="CHOC0109"/>
    <s v="Choco Supreme"/>
    <x v="4"/>
    <n v="11.82"/>
    <n v="1883"/>
    <n v="22257.06"/>
    <n v="2225.71"/>
    <n v="20031.349999999999"/>
    <x v="2"/>
    <s v="Distributor"/>
    <s v="S. Nair"/>
    <x v="2"/>
  </r>
  <r>
    <s v="ORD00561"/>
    <x v="232"/>
    <s v="CHOC0018"/>
    <s v="Cocoa Royale"/>
    <x v="3"/>
    <n v="5.41"/>
    <n v="1324"/>
    <n v="7162.84"/>
    <n v="1074.43"/>
    <n v="6088.41"/>
    <x v="1"/>
    <s v="Supermarket"/>
    <s v="P. Iyer"/>
    <x v="11"/>
  </r>
  <r>
    <s v="ORD00562"/>
    <x v="242"/>
    <s v="CHOC0160"/>
    <s v="Crispy Wafer"/>
    <x v="3"/>
    <n v="5.83"/>
    <n v="331"/>
    <n v="1929.73"/>
    <n v="0"/>
    <n v="1929.73"/>
    <x v="1"/>
    <s v="Retail"/>
    <s v="R. Mehta"/>
    <x v="8"/>
  </r>
  <r>
    <s v="ORD00563"/>
    <x v="204"/>
    <s v="CHOC0073"/>
    <s v="Berry Infusion"/>
    <x v="3"/>
    <n v="11.16"/>
    <n v="1509"/>
    <n v="16840.439999999999"/>
    <n v="0"/>
    <n v="16840.439999999999"/>
    <x v="3"/>
    <s v="Retail"/>
    <s v="R. Mehta"/>
    <x v="2"/>
  </r>
  <r>
    <s v="ORD00564"/>
    <x v="83"/>
    <s v="CHOC0127"/>
    <s v="Velvet Truffle"/>
    <x v="5"/>
    <n v="7.17"/>
    <n v="1629"/>
    <n v="11679.93"/>
    <n v="1751.99"/>
    <n v="9927.94"/>
    <x v="2"/>
    <s v="Supermarket"/>
    <s v="M. Khan"/>
    <x v="4"/>
  </r>
  <r>
    <s v="ORD00565"/>
    <x v="8"/>
    <s v="CHOC0085"/>
    <s v="Hazelnut Heaven"/>
    <x v="3"/>
    <n v="2.2599999999999998"/>
    <n v="1608"/>
    <n v="3634.08"/>
    <n v="545.11"/>
    <n v="3088.97"/>
    <x v="0"/>
    <s v="Supermarket"/>
    <s v="R. Mehta"/>
    <x v="4"/>
  </r>
  <r>
    <s v="ORD00566"/>
    <x v="246"/>
    <s v="CHOC0065"/>
    <s v="Classic Cocoa"/>
    <x v="1"/>
    <n v="3.15"/>
    <n v="1593"/>
    <n v="5017.95"/>
    <n v="250.9"/>
    <n v="4767.05"/>
    <x v="4"/>
    <s v="Supermarket"/>
    <s v="R. Mehta"/>
    <x v="11"/>
  </r>
  <r>
    <s v="ORD00567"/>
    <x v="285"/>
    <s v="CHOC0051"/>
    <s v="Choco Fusion"/>
    <x v="0"/>
    <n v="11.91"/>
    <n v="1087"/>
    <n v="12946.17"/>
    <n v="647.30999999999995"/>
    <n v="12298.86"/>
    <x v="4"/>
    <s v="Supermarket"/>
    <s v="M. Khan"/>
    <x v="4"/>
  </r>
  <r>
    <s v="ORD00568"/>
    <x v="18"/>
    <s v="CHOC0083"/>
    <s v="Cocoa Royale"/>
    <x v="0"/>
    <n v="11.33"/>
    <n v="1545"/>
    <n v="17504.849999999999"/>
    <n v="0"/>
    <n v="17504.849999999999"/>
    <x v="2"/>
    <s v="Supermarket"/>
    <s v="M. Khan"/>
    <x v="9"/>
  </r>
  <r>
    <s v="ORD00569"/>
    <x v="293"/>
    <s v="CHOC0051"/>
    <s v="Silk Sensation"/>
    <x v="1"/>
    <n v="13.16"/>
    <n v="466"/>
    <n v="6132.56"/>
    <n v="0"/>
    <n v="6132.56"/>
    <x v="3"/>
    <s v="Supermarket"/>
    <s v="P. Iyer"/>
    <x v="9"/>
  </r>
  <r>
    <s v="ORD00570"/>
    <x v="83"/>
    <s v="CHOC0043"/>
    <s v="Berry Infusion"/>
    <x v="4"/>
    <n v="3.12"/>
    <n v="1636"/>
    <n v="5104.32"/>
    <n v="255.22"/>
    <n v="4849.1000000000004"/>
    <x v="0"/>
    <s v="Retail"/>
    <s v="K. Patel"/>
    <x v="4"/>
  </r>
  <r>
    <s v="ORD00571"/>
    <x v="58"/>
    <s v="CHOC0122"/>
    <s v="Choco Luxe"/>
    <x v="3"/>
    <n v="6.51"/>
    <n v="203"/>
    <n v="1321.53"/>
    <n v="66.08"/>
    <n v="1255.45"/>
    <x v="3"/>
    <s v="Supermarket"/>
    <s v="A. Sharma"/>
    <x v="8"/>
  </r>
  <r>
    <s v="ORD00572"/>
    <x v="213"/>
    <s v="CHOC0159"/>
    <s v="Golden Nougat"/>
    <x v="0"/>
    <n v="2.31"/>
    <n v="748"/>
    <n v="1727.88"/>
    <n v="86.39"/>
    <n v="1641.49"/>
    <x v="1"/>
    <s v="Retail"/>
    <s v="R. Mehta"/>
    <x v="8"/>
  </r>
  <r>
    <s v="ORD00573"/>
    <x v="255"/>
    <s v="CHOC0060"/>
    <s v="Golden Nougat"/>
    <x v="4"/>
    <n v="12.15"/>
    <n v="1569"/>
    <n v="19063.349999999999"/>
    <n v="1906.34"/>
    <n v="17157.009999999998"/>
    <x v="4"/>
    <s v="Online"/>
    <s v="A. Sharma"/>
    <x v="7"/>
  </r>
  <r>
    <s v="ORD00574"/>
    <x v="247"/>
    <s v="CHOC0097"/>
    <s v="Silk Sensation"/>
    <x v="0"/>
    <n v="3.32"/>
    <n v="1860"/>
    <n v="6175.2"/>
    <n v="0"/>
    <n v="6175.2"/>
    <x v="4"/>
    <s v="Supermarket"/>
    <s v="K. Patel"/>
    <x v="8"/>
  </r>
  <r>
    <s v="ORD00575"/>
    <x v="91"/>
    <s v="CHOC0139"/>
    <s v="Crispy Wafer"/>
    <x v="3"/>
    <n v="9.15"/>
    <n v="1133"/>
    <n v="10366.950000000001"/>
    <n v="1036.7"/>
    <n v="9330.25"/>
    <x v="2"/>
    <s v="Supermarket"/>
    <s v="P. Iyer"/>
    <x v="3"/>
  </r>
  <r>
    <s v="ORD00576"/>
    <x v="198"/>
    <s v="CHOC0142"/>
    <s v="Cocoa Royale"/>
    <x v="1"/>
    <n v="8.67"/>
    <n v="940"/>
    <n v="8149.8"/>
    <n v="814.98"/>
    <n v="7334.82"/>
    <x v="2"/>
    <s v="Distributor"/>
    <s v="S. Nair"/>
    <x v="0"/>
  </r>
  <r>
    <s v="ORD00577"/>
    <x v="294"/>
    <s v="CHOC0199"/>
    <s v="Mocha Dream"/>
    <x v="2"/>
    <n v="11.4"/>
    <n v="1828"/>
    <n v="20839.2"/>
    <n v="0"/>
    <n v="20839.2"/>
    <x v="1"/>
    <s v="Distributor"/>
    <s v="K. Patel"/>
    <x v="4"/>
  </r>
  <r>
    <s v="ORD00578"/>
    <x v="50"/>
    <s v="CHOC0083"/>
    <s v="Hazelnut Heaven"/>
    <x v="0"/>
    <n v="14.56"/>
    <n v="1697"/>
    <n v="24708.32"/>
    <n v="3706.25"/>
    <n v="21002.07"/>
    <x v="3"/>
    <s v="Supermarket"/>
    <s v="K. Patel"/>
    <x v="3"/>
  </r>
  <r>
    <s v="ORD00579"/>
    <x v="55"/>
    <s v="CHOC0157"/>
    <s v="Minty Magic"/>
    <x v="5"/>
    <n v="7.03"/>
    <n v="679"/>
    <n v="4773.37"/>
    <n v="0"/>
    <n v="4773.37"/>
    <x v="0"/>
    <s v="Retail"/>
    <s v="A. Sharma"/>
    <x v="6"/>
  </r>
  <r>
    <s v="ORD00580"/>
    <x v="118"/>
    <s v="CHOC0046"/>
    <s v="Milk Bliss"/>
    <x v="3"/>
    <n v="2.95"/>
    <n v="412"/>
    <n v="1215.4000000000001"/>
    <n v="0"/>
    <n v="1215.4000000000001"/>
    <x v="0"/>
    <s v="Supermarket"/>
    <s v="M. Khan"/>
    <x v="6"/>
  </r>
  <r>
    <s v="ORD00581"/>
    <x v="295"/>
    <s v="CHOC0135"/>
    <s v="Choco Luxe"/>
    <x v="0"/>
    <n v="9.4700000000000006"/>
    <n v="120"/>
    <n v="1136.4000000000001"/>
    <n v="113.64"/>
    <n v="1022.76"/>
    <x v="3"/>
    <s v="Retail"/>
    <s v="A. Sharma"/>
    <x v="7"/>
  </r>
  <r>
    <s v="ORD00582"/>
    <x v="161"/>
    <s v="CHOC0168"/>
    <s v="Crispy Wafer"/>
    <x v="1"/>
    <n v="7.82"/>
    <n v="1328"/>
    <n v="10384.959999999999"/>
    <n v="0"/>
    <n v="10384.959999999999"/>
    <x v="2"/>
    <s v="Supermarket"/>
    <s v="P. Iyer"/>
    <x v="11"/>
  </r>
  <r>
    <s v="ORD00583"/>
    <x v="250"/>
    <s v="CHOC0015"/>
    <s v="Choco Luxe"/>
    <x v="5"/>
    <n v="8.64"/>
    <n v="1523"/>
    <n v="13158.72"/>
    <n v="0"/>
    <n v="13158.72"/>
    <x v="2"/>
    <s v="Retail"/>
    <s v="R. Mehta"/>
    <x v="8"/>
  </r>
  <r>
    <s v="ORD00584"/>
    <x v="286"/>
    <s v="CHOC0025"/>
    <s v="Caramel Crunch"/>
    <x v="0"/>
    <n v="4.62"/>
    <n v="809"/>
    <n v="3737.58"/>
    <n v="186.88"/>
    <n v="3550.7"/>
    <x v="3"/>
    <s v="Online"/>
    <s v="K. Patel"/>
    <x v="7"/>
  </r>
  <r>
    <s v="ORD00585"/>
    <x v="72"/>
    <s v="CHOC0046"/>
    <s v="White Pearl"/>
    <x v="0"/>
    <n v="9.0299999999999994"/>
    <n v="1548"/>
    <n v="13978.44"/>
    <n v="0"/>
    <n v="13978.44"/>
    <x v="1"/>
    <s v="Distributor"/>
    <s v="M. Khan"/>
    <x v="0"/>
  </r>
  <r>
    <s v="ORD00586"/>
    <x v="296"/>
    <s v="CHOC0180"/>
    <s v="Royal Fudge"/>
    <x v="1"/>
    <n v="3.75"/>
    <n v="389"/>
    <n v="1458.75"/>
    <n v="218.81"/>
    <n v="1239.94"/>
    <x v="1"/>
    <s v="Distributor"/>
    <s v="M. Khan"/>
    <x v="1"/>
  </r>
  <r>
    <s v="ORD00587"/>
    <x v="114"/>
    <s v="CHOC0137"/>
    <s v="Choco Luxe"/>
    <x v="2"/>
    <n v="14.1"/>
    <n v="1868"/>
    <n v="26338.799999999999"/>
    <n v="2633.88"/>
    <n v="23704.92"/>
    <x v="1"/>
    <s v="Distributor"/>
    <s v="P. Iyer"/>
    <x v="6"/>
  </r>
  <r>
    <s v="ORD00588"/>
    <x v="108"/>
    <s v="CHOC0196"/>
    <s v="Royal Fudge"/>
    <x v="0"/>
    <n v="5.87"/>
    <n v="512"/>
    <n v="3005.44"/>
    <n v="150.27000000000001"/>
    <n v="2855.17"/>
    <x v="4"/>
    <s v="Distributor"/>
    <s v="P. Iyer"/>
    <x v="5"/>
  </r>
  <r>
    <s v="ORD00589"/>
    <x v="227"/>
    <s v="CHOC0115"/>
    <s v="Classic Cocoa"/>
    <x v="1"/>
    <n v="11.31"/>
    <n v="602"/>
    <n v="6808.62"/>
    <n v="0"/>
    <n v="6808.62"/>
    <x v="1"/>
    <s v="Online"/>
    <s v="P. Iyer"/>
    <x v="1"/>
  </r>
  <r>
    <s v="ORD00590"/>
    <x v="280"/>
    <s v="CHOC0077"/>
    <s v="Choco Supreme"/>
    <x v="3"/>
    <n v="13.05"/>
    <n v="64"/>
    <n v="835.2"/>
    <n v="83.52"/>
    <n v="751.68"/>
    <x v="1"/>
    <s v="Online"/>
    <s v="A. Sharma"/>
    <x v="4"/>
  </r>
  <r>
    <s v="ORD00591"/>
    <x v="167"/>
    <s v="CHOC0118"/>
    <s v="Silk Sensation"/>
    <x v="3"/>
    <n v="3.37"/>
    <n v="771"/>
    <n v="2598.27"/>
    <n v="129.91"/>
    <n v="2468.36"/>
    <x v="3"/>
    <s v="Distributor"/>
    <s v="P. Iyer"/>
    <x v="4"/>
  </r>
  <r>
    <s v="ORD00592"/>
    <x v="210"/>
    <s v="CHOC0147"/>
    <s v="Classic Cocoa"/>
    <x v="4"/>
    <n v="13.89"/>
    <n v="1523"/>
    <n v="21154.47"/>
    <n v="0"/>
    <n v="21154.47"/>
    <x v="2"/>
    <s v="Supermarket"/>
    <s v="R. Mehta"/>
    <x v="2"/>
  </r>
  <r>
    <s v="ORD00593"/>
    <x v="255"/>
    <s v="CHOC0177"/>
    <s v="Lava Bite"/>
    <x v="1"/>
    <n v="9.5399999999999991"/>
    <n v="635"/>
    <n v="6057.9"/>
    <n v="0"/>
    <n v="6057.9"/>
    <x v="1"/>
    <s v="Supermarket"/>
    <s v="A. Sharma"/>
    <x v="7"/>
  </r>
  <r>
    <s v="ORD00594"/>
    <x v="146"/>
    <s v="CHOC0198"/>
    <s v="Golden Nougat"/>
    <x v="5"/>
    <n v="13.38"/>
    <n v="909"/>
    <n v="12162.42"/>
    <n v="1824.36"/>
    <n v="10338.06"/>
    <x v="0"/>
    <s v="Online"/>
    <s v="M. Khan"/>
    <x v="4"/>
  </r>
  <r>
    <s v="ORD00595"/>
    <x v="261"/>
    <s v="CHOC0155"/>
    <s v="Dark Delight"/>
    <x v="0"/>
    <n v="12"/>
    <n v="803"/>
    <n v="9636"/>
    <n v="0"/>
    <n v="9636"/>
    <x v="2"/>
    <s v="Retail"/>
    <s v="P. Iyer"/>
    <x v="8"/>
  </r>
  <r>
    <s v="ORD00596"/>
    <x v="75"/>
    <s v="CHOC0145"/>
    <s v="Almond Elegance"/>
    <x v="5"/>
    <n v="8.2799999999999994"/>
    <n v="472"/>
    <n v="3908.16"/>
    <n v="195.41"/>
    <n v="3712.75"/>
    <x v="0"/>
    <s v="Supermarket"/>
    <s v="S. Nair"/>
    <x v="10"/>
  </r>
  <r>
    <s v="ORD00597"/>
    <x v="237"/>
    <s v="CHOC0148"/>
    <s v="Mocha Dream"/>
    <x v="1"/>
    <n v="4.5"/>
    <n v="613"/>
    <n v="2758.5"/>
    <n v="413.77"/>
    <n v="2344.73"/>
    <x v="3"/>
    <s v="Online"/>
    <s v="P. Iyer"/>
    <x v="0"/>
  </r>
  <r>
    <s v="ORD00598"/>
    <x v="297"/>
    <s v="CHOC0122"/>
    <s v="Lava Bite"/>
    <x v="0"/>
    <n v="2.17"/>
    <n v="837"/>
    <n v="1816.29"/>
    <n v="181.63"/>
    <n v="1634.66"/>
    <x v="0"/>
    <s v="Supermarket"/>
    <s v="K. Patel"/>
    <x v="2"/>
  </r>
  <r>
    <s v="ORD00599"/>
    <x v="13"/>
    <s v="CHOC0199"/>
    <s v="Almond Elegance"/>
    <x v="3"/>
    <n v="7.99"/>
    <n v="425"/>
    <n v="3395.75"/>
    <n v="509.36"/>
    <n v="2886.39"/>
    <x v="4"/>
    <s v="Online"/>
    <s v="K. Patel"/>
    <x v="1"/>
  </r>
  <r>
    <s v="ORD00600"/>
    <x v="103"/>
    <s v="CHOC0189"/>
    <s v="Mocha Dream"/>
    <x v="3"/>
    <n v="4.7699999999999996"/>
    <n v="565"/>
    <n v="2695.05"/>
    <n v="404.26"/>
    <n v="2290.79"/>
    <x v="2"/>
    <s v="Retail"/>
    <s v="A. Sharma"/>
    <x v="0"/>
  </r>
  <r>
    <m/>
    <x v="298"/>
    <m/>
    <m/>
    <x v="6"/>
    <m/>
    <m/>
    <m/>
    <m/>
    <m/>
    <x v="5"/>
    <m/>
    <m/>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s v="ORD00001"/>
    <s v="2025-11-24"/>
    <s v="CHOC0029"/>
    <s v="Dark Delight"/>
    <x v="0"/>
    <n v="5.21"/>
    <n v="477"/>
    <n v="2485.17"/>
    <n v="124.26"/>
    <n v="2360.91"/>
    <x v="0"/>
    <x v="0"/>
    <x v="0"/>
  </r>
  <r>
    <s v="ORD00002"/>
    <s v="2025-08-05"/>
    <s v="CHOC0009"/>
    <s v="Dark Delight"/>
    <x v="1"/>
    <n v="4.45"/>
    <n v="1054"/>
    <n v="4690.3"/>
    <n v="0"/>
    <n v="4690.3"/>
    <x v="1"/>
    <x v="1"/>
    <x v="1"/>
  </r>
  <r>
    <s v="ORD00003"/>
    <s v="2025-11-29"/>
    <s v="CHOC0180"/>
    <s v="White Pearl"/>
    <x v="2"/>
    <n v="4.4800000000000004"/>
    <n v="1226"/>
    <n v="5492.48"/>
    <n v="549.25"/>
    <n v="4943.2299999999996"/>
    <x v="0"/>
    <x v="1"/>
    <x v="1"/>
  </r>
  <r>
    <s v="ORD00004"/>
    <s v="2025-08-05"/>
    <s v="CHOC0088"/>
    <s v="Berry Infusion"/>
    <x v="3"/>
    <n v="4.41"/>
    <n v="1583"/>
    <n v="6981.03"/>
    <n v="698.1"/>
    <n v="6282.93"/>
    <x v="0"/>
    <x v="0"/>
    <x v="2"/>
  </r>
  <r>
    <s v="ORD00005"/>
    <s v="2025-02-19"/>
    <s v="CHOC0092"/>
    <s v="Silk Sensation"/>
    <x v="4"/>
    <n v="5.07"/>
    <n v="108"/>
    <n v="547.55999999999995"/>
    <n v="82.13"/>
    <n v="465.43"/>
    <x v="1"/>
    <x v="0"/>
    <x v="2"/>
  </r>
  <r>
    <s v="ORD00006"/>
    <s v="2025-02-10"/>
    <s v="CHOC0142"/>
    <s v="Minty Magic"/>
    <x v="0"/>
    <n v="9.85"/>
    <n v="1784"/>
    <n v="17572.400000000001"/>
    <n v="1757.24"/>
    <n v="15815.16"/>
    <x v="1"/>
    <x v="1"/>
    <x v="1"/>
  </r>
  <r>
    <s v="ORD00007"/>
    <s v="2025-02-05"/>
    <s v="CHOC0012"/>
    <s v="Choco Supreme"/>
    <x v="5"/>
    <n v="14.8"/>
    <n v="1771"/>
    <n v="26210.799999999999"/>
    <n v="1310.54"/>
    <n v="24900.26"/>
    <x v="0"/>
    <x v="2"/>
    <x v="3"/>
  </r>
  <r>
    <s v="ORD00008"/>
    <s v="2025-08-21"/>
    <s v="CHOC0163"/>
    <s v="Silk Sensation"/>
    <x v="3"/>
    <n v="6.5"/>
    <n v="449"/>
    <n v="2918.5"/>
    <n v="291.85000000000002"/>
    <n v="2626.65"/>
    <x v="0"/>
    <x v="1"/>
    <x v="0"/>
  </r>
  <r>
    <s v="ORD00009"/>
    <s v="2025-05-06"/>
    <s v="CHOC0042"/>
    <s v="Choco Fusion"/>
    <x v="2"/>
    <n v="5.14"/>
    <n v="1915"/>
    <n v="9843.1"/>
    <n v="492.16"/>
    <n v="9350.94"/>
    <x v="2"/>
    <x v="0"/>
    <x v="4"/>
  </r>
  <r>
    <s v="ORD00010"/>
    <s v="2025-01-17"/>
    <s v="CHOC0081"/>
    <s v="Classic Cocoa"/>
    <x v="5"/>
    <n v="2.39"/>
    <n v="1890"/>
    <n v="4517.1000000000004"/>
    <n v="451.71"/>
    <n v="4065.39"/>
    <x v="3"/>
    <x v="2"/>
    <x v="2"/>
  </r>
  <r>
    <s v="ORD00011"/>
    <s v="2025-11-26"/>
    <s v="CHOC0118"/>
    <s v="Almond Elegance"/>
    <x v="5"/>
    <n v="3.39"/>
    <n v="1545"/>
    <n v="5237.55"/>
    <n v="523.75"/>
    <n v="4713.8"/>
    <x v="1"/>
    <x v="2"/>
    <x v="0"/>
  </r>
  <r>
    <s v="ORD00012"/>
    <s v="2025-07-24"/>
    <s v="CHOC0093"/>
    <s v="Choco Supreme"/>
    <x v="3"/>
    <n v="8.3800000000000008"/>
    <n v="206"/>
    <n v="1726.28"/>
    <n v="0"/>
    <n v="1726.28"/>
    <x v="0"/>
    <x v="1"/>
    <x v="1"/>
  </r>
  <r>
    <s v="ORD00013"/>
    <s v="2025-03-23"/>
    <s v="CHOC0175"/>
    <s v="Royal Fudge"/>
    <x v="4"/>
    <n v="2.36"/>
    <n v="801"/>
    <n v="1890.36"/>
    <n v="283.55"/>
    <n v="1606.81"/>
    <x v="1"/>
    <x v="3"/>
    <x v="0"/>
  </r>
  <r>
    <s v="ORD00014"/>
    <s v="2025-01-06"/>
    <s v="CHOC0175"/>
    <s v="Caramel Crunch"/>
    <x v="0"/>
    <n v="13.44"/>
    <n v="1557"/>
    <n v="20926.080000000002"/>
    <n v="2092.61"/>
    <n v="18833.47"/>
    <x v="2"/>
    <x v="0"/>
    <x v="3"/>
  </r>
  <r>
    <s v="ORD00015"/>
    <s v="2025-08-11"/>
    <s v="CHOC0041"/>
    <s v="Choco Fusion"/>
    <x v="1"/>
    <n v="14.38"/>
    <n v="1813"/>
    <n v="26070.94"/>
    <n v="2607.09"/>
    <n v="23463.85"/>
    <x v="1"/>
    <x v="1"/>
    <x v="0"/>
  </r>
  <r>
    <s v="ORD00016"/>
    <s v="2025-02-24"/>
    <s v="CHOC0161"/>
    <s v="Minty Magic"/>
    <x v="0"/>
    <n v="8.35"/>
    <n v="427"/>
    <n v="3565.45"/>
    <n v="178.27"/>
    <n v="3387.18"/>
    <x v="2"/>
    <x v="1"/>
    <x v="0"/>
  </r>
  <r>
    <s v="ORD00017"/>
    <s v="2025-09-29"/>
    <s v="CHOC0001"/>
    <s v="Choco Luxe"/>
    <x v="5"/>
    <n v="8.1"/>
    <n v="249"/>
    <n v="2016.9"/>
    <n v="201.69"/>
    <n v="1815.21"/>
    <x v="2"/>
    <x v="1"/>
    <x v="5"/>
  </r>
  <r>
    <s v="ORD00018"/>
    <s v="2025-05-04"/>
    <s v="CHOC0146"/>
    <s v="Hazelnut Heaven"/>
    <x v="1"/>
    <n v="11.38"/>
    <n v="1691"/>
    <n v="19243.580000000002"/>
    <n v="0"/>
    <n v="19243.580000000002"/>
    <x v="1"/>
    <x v="1"/>
    <x v="4"/>
  </r>
  <r>
    <s v="ORD00019"/>
    <s v="2025-12-04"/>
    <s v="CHOC0122"/>
    <s v="White Pearl"/>
    <x v="3"/>
    <n v="5.08"/>
    <n v="1806"/>
    <n v="9174.48"/>
    <n v="1376.17"/>
    <n v="7798.31"/>
    <x v="3"/>
    <x v="1"/>
    <x v="1"/>
  </r>
  <r>
    <s v="ORD00020"/>
    <s v="2025-06-09"/>
    <s v="CHOC0103"/>
    <s v="Silk Sensation"/>
    <x v="2"/>
    <n v="13.64"/>
    <n v="944"/>
    <n v="12876.16"/>
    <n v="0"/>
    <n v="12876.16"/>
    <x v="3"/>
    <x v="1"/>
    <x v="5"/>
  </r>
  <r>
    <s v="ORD00021"/>
    <s v="2025-06-23"/>
    <s v="CHOC0006"/>
    <s v="Lava Bite"/>
    <x v="4"/>
    <n v="4.6100000000000003"/>
    <n v="471"/>
    <n v="2171.31"/>
    <n v="0"/>
    <n v="2171.31"/>
    <x v="0"/>
    <x v="0"/>
    <x v="4"/>
  </r>
  <r>
    <s v="ORD00022"/>
    <s v="2025-02-04"/>
    <s v="CHOC0009"/>
    <s v="Golden Nougat"/>
    <x v="1"/>
    <n v="8.44"/>
    <n v="590"/>
    <n v="4979.6000000000004"/>
    <n v="746.94"/>
    <n v="4232.66"/>
    <x v="3"/>
    <x v="1"/>
    <x v="1"/>
  </r>
  <r>
    <s v="ORD00023"/>
    <s v="2025-10-20"/>
    <s v="CHOC0148"/>
    <s v="Crispy Wafer"/>
    <x v="3"/>
    <n v="12.09"/>
    <n v="1673"/>
    <n v="20226.57"/>
    <n v="3033.99"/>
    <n v="17192.580000000002"/>
    <x v="3"/>
    <x v="0"/>
    <x v="5"/>
  </r>
  <r>
    <s v="ORD00024"/>
    <s v="2025-12-04"/>
    <s v="CHOC0111"/>
    <s v="Silk Sensation"/>
    <x v="2"/>
    <n v="7.05"/>
    <n v="1789"/>
    <n v="12612.45"/>
    <n v="0"/>
    <n v="12612.45"/>
    <x v="0"/>
    <x v="0"/>
    <x v="2"/>
  </r>
  <r>
    <s v="ORD00025"/>
    <s v="2025-06-23"/>
    <s v="CHOC0028"/>
    <s v="Choco Supreme"/>
    <x v="3"/>
    <n v="4.07"/>
    <n v="938"/>
    <n v="3817.66"/>
    <n v="190.88"/>
    <n v="3626.78"/>
    <x v="4"/>
    <x v="1"/>
    <x v="3"/>
  </r>
  <r>
    <s v="ORD00026"/>
    <s v="2025-08-25"/>
    <s v="CHOC0064"/>
    <s v="Hazelnut Heaven"/>
    <x v="2"/>
    <n v="12.41"/>
    <n v="1773"/>
    <n v="22002.93"/>
    <n v="0"/>
    <n v="22002.93"/>
    <x v="0"/>
    <x v="0"/>
    <x v="5"/>
  </r>
  <r>
    <s v="ORD00027"/>
    <s v="2025-05-02"/>
    <s v="CHOC0043"/>
    <s v="Royal Fudge"/>
    <x v="2"/>
    <n v="8"/>
    <n v="1790"/>
    <n v="14320"/>
    <n v="2148"/>
    <n v="12172"/>
    <x v="0"/>
    <x v="1"/>
    <x v="2"/>
  </r>
  <r>
    <s v="ORD00028"/>
    <s v="2025-01-02"/>
    <s v="CHOC0100"/>
    <s v="Berry Infusion"/>
    <x v="2"/>
    <n v="5.35"/>
    <n v="1446"/>
    <n v="7736.1"/>
    <n v="1160.4100000000001"/>
    <n v="6575.69"/>
    <x v="3"/>
    <x v="1"/>
    <x v="3"/>
  </r>
  <r>
    <s v="ORD00029"/>
    <s v="2025-04-22"/>
    <s v="CHOC0015"/>
    <s v="Lava Bite"/>
    <x v="0"/>
    <n v="8.82"/>
    <n v="1551"/>
    <n v="13679.82"/>
    <n v="1367.98"/>
    <n v="12311.84"/>
    <x v="0"/>
    <x v="0"/>
    <x v="0"/>
  </r>
  <r>
    <s v="ORD00030"/>
    <s v="2025-09-02"/>
    <s v="CHOC0129"/>
    <s v="Mocha Dream"/>
    <x v="3"/>
    <n v="2.27"/>
    <n v="1060"/>
    <n v="2406.1999999999998"/>
    <n v="0"/>
    <n v="2406.1999999999998"/>
    <x v="3"/>
    <x v="0"/>
    <x v="0"/>
  </r>
  <r>
    <s v="ORD00031"/>
    <s v="2025-02-04"/>
    <s v="CHOC0173"/>
    <s v="Choco Supreme"/>
    <x v="2"/>
    <n v="3.12"/>
    <n v="1843"/>
    <n v="5750.16"/>
    <n v="287.51"/>
    <n v="5462.65"/>
    <x v="1"/>
    <x v="0"/>
    <x v="0"/>
  </r>
  <r>
    <s v="ORD00032"/>
    <s v="2025-02-11"/>
    <s v="CHOC0108"/>
    <s v="Lava Bite"/>
    <x v="4"/>
    <n v="8.56"/>
    <n v="1934"/>
    <n v="16555.04"/>
    <n v="1655.5"/>
    <n v="14899.54"/>
    <x v="3"/>
    <x v="3"/>
    <x v="4"/>
  </r>
  <r>
    <s v="ORD00033"/>
    <s v="2025-05-16"/>
    <s v="CHOC0102"/>
    <s v="Almond Elegance"/>
    <x v="0"/>
    <n v="10.210000000000001"/>
    <n v="956"/>
    <n v="9760.76"/>
    <n v="976.08"/>
    <n v="8784.68"/>
    <x v="0"/>
    <x v="0"/>
    <x v="2"/>
  </r>
  <r>
    <s v="ORD00034"/>
    <s v="2025-11-15"/>
    <s v="CHOC0145"/>
    <s v="Caramel Crunch"/>
    <x v="1"/>
    <n v="8.76"/>
    <n v="1056"/>
    <n v="9250.56"/>
    <n v="925.06"/>
    <n v="8325.5"/>
    <x v="3"/>
    <x v="3"/>
    <x v="5"/>
  </r>
  <r>
    <s v="ORD00035"/>
    <s v="2025-05-06"/>
    <s v="CHOC0095"/>
    <s v="Minty Magic"/>
    <x v="3"/>
    <n v="7.42"/>
    <n v="1132"/>
    <n v="8399.44"/>
    <n v="839.94"/>
    <n v="7559.5"/>
    <x v="1"/>
    <x v="0"/>
    <x v="1"/>
  </r>
  <r>
    <s v="ORD00036"/>
    <s v="2025-10-11"/>
    <s v="CHOC0077"/>
    <s v="Caramel Crunch"/>
    <x v="3"/>
    <n v="5.07"/>
    <n v="1842"/>
    <n v="9338.94"/>
    <n v="0"/>
    <n v="9338.94"/>
    <x v="1"/>
    <x v="1"/>
    <x v="3"/>
  </r>
  <r>
    <s v="ORD00037"/>
    <s v="2025-05-25"/>
    <s v="CHOC0155"/>
    <s v="Velvet Truffle"/>
    <x v="0"/>
    <n v="6.13"/>
    <n v="1427"/>
    <n v="8747.51"/>
    <n v="874.75"/>
    <n v="7872.76"/>
    <x v="1"/>
    <x v="2"/>
    <x v="3"/>
  </r>
  <r>
    <s v="ORD00038"/>
    <s v="2025-01-27"/>
    <s v="CHOC0024"/>
    <s v="Royal Fudge"/>
    <x v="5"/>
    <n v="2.1"/>
    <n v="703"/>
    <n v="1476.3"/>
    <n v="73.81"/>
    <n v="1402.49"/>
    <x v="2"/>
    <x v="1"/>
    <x v="1"/>
  </r>
  <r>
    <s v="ORD00039"/>
    <s v="2025-08-15"/>
    <s v="CHOC0142"/>
    <s v="Royal Fudge"/>
    <x v="4"/>
    <n v="1.63"/>
    <n v="174"/>
    <n v="283.62"/>
    <n v="14.18"/>
    <n v="269.44"/>
    <x v="1"/>
    <x v="0"/>
    <x v="3"/>
  </r>
  <r>
    <s v="ORD00040"/>
    <s v="2025-10-26"/>
    <s v="CHOC0142"/>
    <s v="Almond Elegance"/>
    <x v="2"/>
    <n v="3.22"/>
    <n v="651"/>
    <n v="2096.2199999999998"/>
    <n v="209.62"/>
    <n v="1886.6"/>
    <x v="0"/>
    <x v="3"/>
    <x v="4"/>
  </r>
  <r>
    <s v="ORD00041"/>
    <s v="2025-12-16"/>
    <s v="CHOC0064"/>
    <s v="Caramel Crunch"/>
    <x v="5"/>
    <n v="12.03"/>
    <n v="1830"/>
    <n v="22014.9"/>
    <n v="3302.24"/>
    <n v="18712.66"/>
    <x v="1"/>
    <x v="1"/>
    <x v="4"/>
  </r>
  <r>
    <s v="ORD00042"/>
    <s v="2025-03-25"/>
    <s v="CHOC0046"/>
    <s v="Royal Fudge"/>
    <x v="1"/>
    <n v="3.92"/>
    <n v="1913"/>
    <n v="7498.96"/>
    <n v="749.9"/>
    <n v="6749.06"/>
    <x v="4"/>
    <x v="1"/>
    <x v="3"/>
  </r>
  <r>
    <s v="ORD00043"/>
    <s v="2025-03-23"/>
    <s v="CHOC0180"/>
    <s v="Caramel Crunch"/>
    <x v="2"/>
    <n v="13.27"/>
    <n v="1778"/>
    <n v="23594.06"/>
    <n v="3539.11"/>
    <n v="20054.95"/>
    <x v="3"/>
    <x v="1"/>
    <x v="2"/>
  </r>
  <r>
    <s v="ORD00044"/>
    <s v="2025-06-29"/>
    <s v="CHOC0079"/>
    <s v="Choco Supreme"/>
    <x v="3"/>
    <n v="1.82"/>
    <n v="415"/>
    <n v="755.3"/>
    <n v="113.29"/>
    <n v="642.01"/>
    <x v="2"/>
    <x v="3"/>
    <x v="5"/>
  </r>
  <r>
    <s v="ORD00045"/>
    <s v="2025-05-23"/>
    <s v="CHOC0090"/>
    <s v="Mocha Dream"/>
    <x v="2"/>
    <n v="10.67"/>
    <n v="1747"/>
    <n v="18640.490000000002"/>
    <n v="1864.05"/>
    <n v="16776.439999999999"/>
    <x v="0"/>
    <x v="0"/>
    <x v="3"/>
  </r>
  <r>
    <s v="ORD00046"/>
    <s v="2025-04-02"/>
    <s v="CHOC0149"/>
    <s v="Berry Infusion"/>
    <x v="1"/>
    <n v="2.96"/>
    <n v="909"/>
    <n v="2690.64"/>
    <n v="269.06"/>
    <n v="2421.58"/>
    <x v="2"/>
    <x v="2"/>
    <x v="0"/>
  </r>
  <r>
    <s v="ORD00047"/>
    <s v="2025-09-19"/>
    <s v="CHOC0030"/>
    <s v="Classic Cocoa"/>
    <x v="4"/>
    <n v="4.07"/>
    <n v="110"/>
    <n v="447.7"/>
    <n v="67.16"/>
    <n v="380.54"/>
    <x v="0"/>
    <x v="1"/>
    <x v="3"/>
  </r>
  <r>
    <s v="ORD00048"/>
    <s v="2025-08-09"/>
    <s v="CHOC0018"/>
    <s v="Golden Nougat"/>
    <x v="4"/>
    <n v="5.74"/>
    <n v="1756"/>
    <n v="10079.44"/>
    <n v="0"/>
    <n v="10079.44"/>
    <x v="2"/>
    <x v="3"/>
    <x v="1"/>
  </r>
  <r>
    <s v="ORD00049"/>
    <s v="2025-07-29"/>
    <s v="CHOC0084"/>
    <s v="Classic Cocoa"/>
    <x v="0"/>
    <n v="5.49"/>
    <n v="280"/>
    <n v="1537.2"/>
    <n v="76.86"/>
    <n v="1460.34"/>
    <x v="4"/>
    <x v="2"/>
    <x v="1"/>
  </r>
  <r>
    <s v="ORD00050"/>
    <s v="2025-03-31"/>
    <s v="CHOC0158"/>
    <s v="Lava Bite"/>
    <x v="5"/>
    <n v="6.98"/>
    <n v="1727"/>
    <n v="12054.46"/>
    <n v="0"/>
    <n v="12054.46"/>
    <x v="2"/>
    <x v="3"/>
    <x v="4"/>
  </r>
  <r>
    <s v="ORD00051"/>
    <s v="2025-08-09"/>
    <s v="CHOC0149"/>
    <s v="Choco Luxe"/>
    <x v="0"/>
    <n v="5.85"/>
    <n v="924"/>
    <n v="5405.4"/>
    <n v="810.81"/>
    <n v="4594.59"/>
    <x v="3"/>
    <x v="2"/>
    <x v="1"/>
  </r>
  <r>
    <s v="ORD00052"/>
    <s v="2025-03-28"/>
    <s v="CHOC0169"/>
    <s v="Hazelnut Heaven"/>
    <x v="5"/>
    <n v="8.4600000000000009"/>
    <n v="1316"/>
    <n v="11133.36"/>
    <n v="1113.3399999999999"/>
    <n v="10020.02"/>
    <x v="0"/>
    <x v="1"/>
    <x v="1"/>
  </r>
  <r>
    <s v="ORD00053"/>
    <s v="2025-06-08"/>
    <s v="CHOC0058"/>
    <s v="Velvet Truffle"/>
    <x v="3"/>
    <n v="1.83"/>
    <n v="521"/>
    <n v="953.43"/>
    <n v="143.01"/>
    <n v="810.42"/>
    <x v="1"/>
    <x v="0"/>
    <x v="2"/>
  </r>
  <r>
    <s v="ORD00054"/>
    <s v="2025-08-01"/>
    <s v="CHOC0162"/>
    <s v="Lava Bite"/>
    <x v="3"/>
    <n v="11.2"/>
    <n v="806"/>
    <n v="9027.2000000000007"/>
    <n v="1354.08"/>
    <n v="7673.12"/>
    <x v="4"/>
    <x v="1"/>
    <x v="4"/>
  </r>
  <r>
    <s v="ORD00055"/>
    <s v="2025-12-02"/>
    <s v="CHOC0177"/>
    <s v="Dark Delight"/>
    <x v="1"/>
    <n v="12.01"/>
    <n v="468"/>
    <n v="5620.68"/>
    <n v="281.02999999999997"/>
    <n v="5339.65"/>
    <x v="1"/>
    <x v="2"/>
    <x v="5"/>
  </r>
  <r>
    <s v="ORD00056"/>
    <s v="2025-10-13"/>
    <s v="CHOC0064"/>
    <s v="Caramel Crunch"/>
    <x v="2"/>
    <n v="3.3"/>
    <n v="971"/>
    <n v="3204.3"/>
    <n v="320.43"/>
    <n v="2883.87"/>
    <x v="4"/>
    <x v="2"/>
    <x v="0"/>
  </r>
  <r>
    <s v="ORD00057"/>
    <s v="2025-08-17"/>
    <s v="CHOC0041"/>
    <s v="Crispy Wafer"/>
    <x v="2"/>
    <n v="5"/>
    <n v="526"/>
    <n v="2630"/>
    <n v="263"/>
    <n v="2367"/>
    <x v="1"/>
    <x v="2"/>
    <x v="1"/>
  </r>
  <r>
    <s v="ORD00058"/>
    <s v="2025-05-03"/>
    <s v="CHOC0071"/>
    <s v="Choco Fusion"/>
    <x v="1"/>
    <n v="11.13"/>
    <n v="500"/>
    <n v="5565"/>
    <n v="556.5"/>
    <n v="5008.5"/>
    <x v="2"/>
    <x v="3"/>
    <x v="0"/>
  </r>
  <r>
    <s v="ORD00059"/>
    <s v="2025-02-11"/>
    <s v="CHOC0036"/>
    <s v="Almond Elegance"/>
    <x v="3"/>
    <n v="6.67"/>
    <n v="332"/>
    <n v="2214.44"/>
    <n v="110.72"/>
    <n v="2103.7199999999998"/>
    <x v="0"/>
    <x v="2"/>
    <x v="2"/>
  </r>
  <r>
    <s v="ORD00060"/>
    <s v="2025-06-19"/>
    <s v="CHOC0139"/>
    <s v="Choco Fusion"/>
    <x v="2"/>
    <n v="2.34"/>
    <n v="1725"/>
    <n v="4036.5"/>
    <n v="605.48"/>
    <n v="3431.02"/>
    <x v="4"/>
    <x v="0"/>
    <x v="0"/>
  </r>
  <r>
    <s v="ORD00061"/>
    <s v="2025-07-14"/>
    <s v="CHOC0123"/>
    <s v="Dark Delight"/>
    <x v="5"/>
    <n v="5.53"/>
    <n v="818"/>
    <n v="4523.54"/>
    <n v="678.53"/>
    <n v="3845.01"/>
    <x v="1"/>
    <x v="1"/>
    <x v="2"/>
  </r>
  <r>
    <s v="ORD00062"/>
    <s v="2025-04-23"/>
    <s v="CHOC0070"/>
    <s v="Royal Fudge"/>
    <x v="2"/>
    <n v="1.89"/>
    <n v="708"/>
    <n v="1338.12"/>
    <n v="200.72"/>
    <n v="1137.4000000000001"/>
    <x v="3"/>
    <x v="2"/>
    <x v="4"/>
  </r>
  <r>
    <s v="ORD00063"/>
    <s v="2025-11-15"/>
    <s v="CHOC0137"/>
    <s v="Dark Delight"/>
    <x v="2"/>
    <n v="9.49"/>
    <n v="1377"/>
    <n v="13067.73"/>
    <n v="0"/>
    <n v="13067.73"/>
    <x v="0"/>
    <x v="2"/>
    <x v="4"/>
  </r>
  <r>
    <s v="ORD00064"/>
    <s v="2025-08-25"/>
    <s v="CHOC0047"/>
    <s v="Milk Bliss"/>
    <x v="5"/>
    <n v="6.62"/>
    <n v="453"/>
    <n v="2998.86"/>
    <n v="449.83"/>
    <n v="2549.0300000000002"/>
    <x v="2"/>
    <x v="3"/>
    <x v="2"/>
  </r>
  <r>
    <s v="ORD00065"/>
    <s v="2025-05-23"/>
    <s v="CHOC0193"/>
    <s v="Royal Fudge"/>
    <x v="5"/>
    <n v="12.77"/>
    <n v="983"/>
    <n v="12552.91"/>
    <n v="0"/>
    <n v="12552.91"/>
    <x v="1"/>
    <x v="0"/>
    <x v="3"/>
  </r>
  <r>
    <s v="ORD00066"/>
    <s v="2025-04-25"/>
    <s v="CHOC0167"/>
    <s v="Hazelnut Heaven"/>
    <x v="0"/>
    <n v="2.04"/>
    <n v="83"/>
    <n v="169.32"/>
    <n v="8.4700000000000006"/>
    <n v="160.85"/>
    <x v="3"/>
    <x v="0"/>
    <x v="0"/>
  </r>
  <r>
    <s v="ORD00067"/>
    <s v="2025-03-20"/>
    <s v="CHOC0062"/>
    <s v="Almond Elegance"/>
    <x v="2"/>
    <n v="10.54"/>
    <n v="1175"/>
    <n v="12384.5"/>
    <n v="619.23"/>
    <n v="11765.27"/>
    <x v="4"/>
    <x v="3"/>
    <x v="3"/>
  </r>
  <r>
    <s v="ORD00068"/>
    <s v="2025-03-27"/>
    <s v="CHOC0156"/>
    <s v="Choco Luxe"/>
    <x v="0"/>
    <n v="11.2"/>
    <n v="1612"/>
    <n v="18054.400000000001"/>
    <n v="902.72"/>
    <n v="17151.68"/>
    <x v="2"/>
    <x v="0"/>
    <x v="0"/>
  </r>
  <r>
    <s v="ORD00069"/>
    <s v="2025-01-14"/>
    <s v="CHOC0080"/>
    <s v="Lava Bite"/>
    <x v="0"/>
    <n v="13.76"/>
    <n v="788"/>
    <n v="10842.88"/>
    <n v="1626.43"/>
    <n v="9216.4500000000007"/>
    <x v="3"/>
    <x v="0"/>
    <x v="0"/>
  </r>
  <r>
    <s v="ORD00070"/>
    <s v="2025-12-20"/>
    <s v="CHOC0161"/>
    <s v="Choco Supreme"/>
    <x v="1"/>
    <n v="10.91"/>
    <n v="637"/>
    <n v="6949.67"/>
    <n v="0"/>
    <n v="6949.67"/>
    <x v="1"/>
    <x v="0"/>
    <x v="3"/>
  </r>
  <r>
    <s v="ORD00071"/>
    <s v="2025-09-30"/>
    <s v="CHOC0110"/>
    <s v="Silk Sensation"/>
    <x v="1"/>
    <n v="8.33"/>
    <n v="718"/>
    <n v="5980.94"/>
    <n v="0"/>
    <n v="5980.94"/>
    <x v="4"/>
    <x v="2"/>
    <x v="5"/>
  </r>
  <r>
    <s v="ORD00072"/>
    <s v="2025-08-10"/>
    <s v="CHOC0093"/>
    <s v="Choco Fusion"/>
    <x v="0"/>
    <n v="3.57"/>
    <n v="380"/>
    <n v="1356.6"/>
    <n v="135.66"/>
    <n v="1220.94"/>
    <x v="1"/>
    <x v="2"/>
    <x v="2"/>
  </r>
  <r>
    <s v="ORD00073"/>
    <s v="2025-08-12"/>
    <s v="CHOC0188"/>
    <s v="Lava Bite"/>
    <x v="5"/>
    <n v="5.85"/>
    <n v="522"/>
    <n v="3053.7"/>
    <n v="0"/>
    <n v="3053.7"/>
    <x v="2"/>
    <x v="2"/>
    <x v="4"/>
  </r>
  <r>
    <s v="ORD00074"/>
    <s v="2025-08-26"/>
    <s v="CHOC0146"/>
    <s v="Choco Luxe"/>
    <x v="0"/>
    <n v="6.62"/>
    <n v="78"/>
    <n v="516.36"/>
    <n v="77.45"/>
    <n v="438.91"/>
    <x v="2"/>
    <x v="1"/>
    <x v="2"/>
  </r>
  <r>
    <s v="ORD00075"/>
    <s v="2025-04-19"/>
    <s v="CHOC0091"/>
    <s v="Berry Infusion"/>
    <x v="5"/>
    <n v="5.28"/>
    <n v="1240"/>
    <n v="6547.2"/>
    <n v="654.72"/>
    <n v="5892.48"/>
    <x v="1"/>
    <x v="0"/>
    <x v="0"/>
  </r>
  <r>
    <s v="ORD00076"/>
    <s v="2025-04-08"/>
    <s v="CHOC0022"/>
    <s v="Choco Supreme"/>
    <x v="0"/>
    <n v="6.99"/>
    <n v="1157"/>
    <n v="8087.43"/>
    <n v="404.37"/>
    <n v="7683.06"/>
    <x v="4"/>
    <x v="2"/>
    <x v="2"/>
  </r>
  <r>
    <s v="ORD00077"/>
    <s v="2025-01-09"/>
    <s v="CHOC0024"/>
    <s v="Minty Magic"/>
    <x v="3"/>
    <n v="6.96"/>
    <n v="518"/>
    <n v="3605.28"/>
    <n v="360.53"/>
    <n v="3244.75"/>
    <x v="1"/>
    <x v="3"/>
    <x v="2"/>
  </r>
  <r>
    <s v="ORD00078"/>
    <s v="2025-10-11"/>
    <s v="CHOC0136"/>
    <s v="Silk Sensation"/>
    <x v="2"/>
    <n v="14.95"/>
    <n v="1147"/>
    <n v="17147.650000000001"/>
    <n v="1714.77"/>
    <n v="15432.88"/>
    <x v="2"/>
    <x v="2"/>
    <x v="3"/>
  </r>
  <r>
    <s v="ORD00079"/>
    <s v="2025-06-06"/>
    <s v="CHOC0065"/>
    <s v="Choco Supreme"/>
    <x v="1"/>
    <n v="11.24"/>
    <n v="666"/>
    <n v="7485.84"/>
    <n v="0"/>
    <n v="7485.84"/>
    <x v="1"/>
    <x v="1"/>
    <x v="4"/>
  </r>
  <r>
    <s v="ORD00080"/>
    <s v="2025-04-21"/>
    <s v="CHOC0190"/>
    <s v="Crispy Wafer"/>
    <x v="5"/>
    <n v="11.28"/>
    <n v="1576"/>
    <n v="17777.28"/>
    <n v="1777.73"/>
    <n v="15999.55"/>
    <x v="0"/>
    <x v="1"/>
    <x v="3"/>
  </r>
  <r>
    <s v="ORD00081"/>
    <s v="2025-04-27"/>
    <s v="CHOC0093"/>
    <s v="Cocoa Royale"/>
    <x v="5"/>
    <n v="1.69"/>
    <n v="1113"/>
    <n v="1880.97"/>
    <n v="94.05"/>
    <n v="1786.92"/>
    <x v="2"/>
    <x v="0"/>
    <x v="5"/>
  </r>
  <r>
    <s v="ORD00082"/>
    <s v="2025-10-11"/>
    <s v="CHOC0075"/>
    <s v="Almond Elegance"/>
    <x v="0"/>
    <n v="13.22"/>
    <n v="1025"/>
    <n v="13550.5"/>
    <n v="0"/>
    <n v="13550.5"/>
    <x v="0"/>
    <x v="3"/>
    <x v="2"/>
  </r>
  <r>
    <s v="ORD00083"/>
    <s v="2025-09-03"/>
    <s v="CHOC0113"/>
    <s v="Golden Nougat"/>
    <x v="3"/>
    <n v="14.53"/>
    <n v="537"/>
    <n v="7802.61"/>
    <n v="1170.3900000000001"/>
    <n v="6632.22"/>
    <x v="0"/>
    <x v="0"/>
    <x v="2"/>
  </r>
  <r>
    <s v="ORD00084"/>
    <s v="2025-09-09"/>
    <s v="CHOC0019"/>
    <s v="Lava Bite"/>
    <x v="0"/>
    <n v="10.77"/>
    <n v="330"/>
    <n v="3554.1"/>
    <n v="177.71"/>
    <n v="3376.39"/>
    <x v="1"/>
    <x v="3"/>
    <x v="5"/>
  </r>
  <r>
    <s v="ORD00085"/>
    <s v="2025-05-08"/>
    <s v="CHOC0031"/>
    <s v="White Pearl"/>
    <x v="2"/>
    <n v="9.69"/>
    <n v="1639"/>
    <n v="15881.91"/>
    <n v="794.1"/>
    <n v="15087.81"/>
    <x v="1"/>
    <x v="2"/>
    <x v="2"/>
  </r>
  <r>
    <s v="ORD00086"/>
    <s v="2025-08-15"/>
    <s v="CHOC0077"/>
    <s v="Lava Bite"/>
    <x v="2"/>
    <n v="5.62"/>
    <n v="1291"/>
    <n v="7255.42"/>
    <n v="0"/>
    <n v="7255.42"/>
    <x v="1"/>
    <x v="0"/>
    <x v="4"/>
  </r>
  <r>
    <s v="ORD00087"/>
    <s v="2025-11-17"/>
    <s v="CHOC0055"/>
    <s v="Berry Infusion"/>
    <x v="0"/>
    <n v="2.6"/>
    <n v="511"/>
    <n v="1328.6"/>
    <n v="66.430000000000007"/>
    <n v="1262.17"/>
    <x v="1"/>
    <x v="0"/>
    <x v="4"/>
  </r>
  <r>
    <s v="ORD00088"/>
    <s v="2025-01-02"/>
    <s v="CHOC0105"/>
    <s v="Choco Fusion"/>
    <x v="0"/>
    <n v="9.52"/>
    <n v="616"/>
    <n v="5864.32"/>
    <n v="0"/>
    <n v="5864.32"/>
    <x v="3"/>
    <x v="3"/>
    <x v="1"/>
  </r>
  <r>
    <s v="ORD00089"/>
    <s v="2025-05-25"/>
    <s v="CHOC0180"/>
    <s v="Choco Fusion"/>
    <x v="1"/>
    <n v="10.78"/>
    <n v="1912"/>
    <n v="20611.36"/>
    <n v="2061.14"/>
    <n v="18550.22"/>
    <x v="1"/>
    <x v="1"/>
    <x v="2"/>
  </r>
  <r>
    <s v="ORD00090"/>
    <s v="2025-02-28"/>
    <s v="CHOC0140"/>
    <s v="Choco Supreme"/>
    <x v="0"/>
    <n v="3.51"/>
    <n v="564"/>
    <n v="1979.64"/>
    <n v="98.98"/>
    <n v="1880.66"/>
    <x v="0"/>
    <x v="0"/>
    <x v="4"/>
  </r>
  <r>
    <s v="ORD00091"/>
    <s v="2025-06-07"/>
    <s v="CHOC0153"/>
    <s v="Lava Bite"/>
    <x v="5"/>
    <n v="7.43"/>
    <n v="979"/>
    <n v="7273.97"/>
    <n v="727.4"/>
    <n v="6546.57"/>
    <x v="4"/>
    <x v="3"/>
    <x v="0"/>
  </r>
  <r>
    <s v="ORD00092"/>
    <s v="2025-10-04"/>
    <s v="CHOC0127"/>
    <s v="Choco Fusion"/>
    <x v="1"/>
    <n v="9.57"/>
    <n v="1841"/>
    <n v="17618.37"/>
    <n v="2642.76"/>
    <n v="14975.61"/>
    <x v="2"/>
    <x v="3"/>
    <x v="5"/>
  </r>
  <r>
    <s v="ORD00093"/>
    <s v="2025-02-16"/>
    <s v="CHOC0059"/>
    <s v="Lava Bite"/>
    <x v="4"/>
    <n v="14.34"/>
    <n v="1586"/>
    <n v="22743.24"/>
    <n v="2274.3200000000002"/>
    <n v="20468.919999999998"/>
    <x v="1"/>
    <x v="0"/>
    <x v="4"/>
  </r>
  <r>
    <s v="ORD00094"/>
    <s v="2025-08-29"/>
    <s v="CHOC0133"/>
    <s v="Choco Fusion"/>
    <x v="5"/>
    <n v="3.95"/>
    <n v="1218"/>
    <n v="4811.1000000000004"/>
    <n v="721.67"/>
    <n v="4089.43"/>
    <x v="4"/>
    <x v="0"/>
    <x v="2"/>
  </r>
  <r>
    <s v="ORD00095"/>
    <s v="2025-06-28"/>
    <s v="CHOC0105"/>
    <s v="Golden Nougat"/>
    <x v="5"/>
    <n v="10.55"/>
    <n v="1776"/>
    <n v="18736.8"/>
    <n v="936.84"/>
    <n v="17799.96"/>
    <x v="2"/>
    <x v="2"/>
    <x v="1"/>
  </r>
  <r>
    <s v="ORD00096"/>
    <s v="2025-09-11"/>
    <s v="CHOC0074"/>
    <s v="Classic Cocoa"/>
    <x v="4"/>
    <n v="2"/>
    <n v="200"/>
    <n v="400"/>
    <n v="40"/>
    <n v="360"/>
    <x v="2"/>
    <x v="3"/>
    <x v="5"/>
  </r>
  <r>
    <s v="ORD00097"/>
    <s v="2025-07-26"/>
    <s v="CHOC0132"/>
    <s v="Dark Delight"/>
    <x v="0"/>
    <n v="13.24"/>
    <n v="966"/>
    <n v="12789.84"/>
    <n v="1918.48"/>
    <n v="10871.36"/>
    <x v="0"/>
    <x v="1"/>
    <x v="0"/>
  </r>
  <r>
    <s v="ORD00098"/>
    <s v="2025-07-05"/>
    <s v="CHOC0160"/>
    <s v="Crispy Wafer"/>
    <x v="0"/>
    <n v="7.47"/>
    <n v="125"/>
    <n v="933.75"/>
    <n v="46.69"/>
    <n v="887.06"/>
    <x v="2"/>
    <x v="1"/>
    <x v="3"/>
  </r>
  <r>
    <s v="ORD00099"/>
    <s v="2025-08-13"/>
    <s v="CHOC0179"/>
    <s v="Crispy Wafer"/>
    <x v="1"/>
    <n v="1.89"/>
    <n v="1310"/>
    <n v="2475.9"/>
    <n v="123.8"/>
    <n v="2352.1"/>
    <x v="3"/>
    <x v="3"/>
    <x v="0"/>
  </r>
  <r>
    <s v="ORD00100"/>
    <s v="2025-01-08"/>
    <s v="CHOC0142"/>
    <s v="Royal Fudge"/>
    <x v="1"/>
    <n v="4.53"/>
    <n v="1743"/>
    <n v="7895.79"/>
    <n v="0"/>
    <n v="7895.79"/>
    <x v="4"/>
    <x v="0"/>
    <x v="1"/>
  </r>
  <r>
    <s v="ORD00101"/>
    <s v="2025-03-20"/>
    <s v="CHOC0128"/>
    <s v="Minty Magic"/>
    <x v="4"/>
    <n v="11.02"/>
    <n v="870"/>
    <n v="9587.4"/>
    <n v="1438.11"/>
    <n v="8149.29"/>
    <x v="4"/>
    <x v="1"/>
    <x v="2"/>
  </r>
  <r>
    <s v="ORD00102"/>
    <s v="2025-10-10"/>
    <s v="CHOC0038"/>
    <s v="Classic Cocoa"/>
    <x v="3"/>
    <n v="13.95"/>
    <n v="1060"/>
    <n v="14787"/>
    <n v="739.35"/>
    <n v="14047.65"/>
    <x v="0"/>
    <x v="3"/>
    <x v="2"/>
  </r>
  <r>
    <s v="ORD00103"/>
    <s v="2025-06-24"/>
    <s v="CHOC0130"/>
    <s v="Berry Infusion"/>
    <x v="1"/>
    <n v="5.32"/>
    <n v="631"/>
    <n v="3356.92"/>
    <n v="503.54"/>
    <n v="2853.38"/>
    <x v="3"/>
    <x v="2"/>
    <x v="0"/>
  </r>
  <r>
    <s v="ORD00104"/>
    <s v="2025-09-05"/>
    <s v="CHOC0089"/>
    <s v="Golden Nougat"/>
    <x v="4"/>
    <n v="11.8"/>
    <n v="792"/>
    <n v="9345.6"/>
    <n v="1401.84"/>
    <n v="7943.76"/>
    <x v="2"/>
    <x v="1"/>
    <x v="1"/>
  </r>
  <r>
    <s v="ORD00105"/>
    <s v="2025-05-03"/>
    <s v="CHOC0147"/>
    <s v="Classic Cocoa"/>
    <x v="3"/>
    <n v="13.06"/>
    <n v="861"/>
    <n v="11244.66"/>
    <n v="0"/>
    <n v="11244.66"/>
    <x v="2"/>
    <x v="2"/>
    <x v="1"/>
  </r>
  <r>
    <s v="ORD00106"/>
    <s v="2025-07-15"/>
    <s v="CHOC0099"/>
    <s v="Almond Elegance"/>
    <x v="2"/>
    <n v="14.53"/>
    <n v="278"/>
    <n v="4039.34"/>
    <n v="403.93"/>
    <n v="3635.41"/>
    <x v="0"/>
    <x v="2"/>
    <x v="5"/>
  </r>
  <r>
    <s v="ORD00107"/>
    <s v="2025-09-27"/>
    <s v="CHOC0117"/>
    <s v="Dark Delight"/>
    <x v="0"/>
    <n v="3.45"/>
    <n v="1803"/>
    <n v="6220.35"/>
    <n v="311.02"/>
    <n v="5909.33"/>
    <x v="0"/>
    <x v="2"/>
    <x v="3"/>
  </r>
  <r>
    <s v="ORD00108"/>
    <s v="2025-06-23"/>
    <s v="CHOC0160"/>
    <s v="Classic Cocoa"/>
    <x v="0"/>
    <n v="2.58"/>
    <n v="692"/>
    <n v="1785.36"/>
    <n v="267.8"/>
    <n v="1517.56"/>
    <x v="2"/>
    <x v="2"/>
    <x v="0"/>
  </r>
  <r>
    <s v="ORD00109"/>
    <s v="2025-01-19"/>
    <s v="CHOC0159"/>
    <s v="Hazelnut Heaven"/>
    <x v="3"/>
    <n v="10.02"/>
    <n v="1906"/>
    <n v="19098.12"/>
    <n v="1909.81"/>
    <n v="17188.310000000001"/>
    <x v="3"/>
    <x v="0"/>
    <x v="2"/>
  </r>
  <r>
    <s v="ORD00110"/>
    <s v="2025-02-20"/>
    <s v="CHOC0195"/>
    <s v="Caramel Crunch"/>
    <x v="2"/>
    <n v="3.75"/>
    <n v="633"/>
    <n v="2373.75"/>
    <n v="0"/>
    <n v="2373.75"/>
    <x v="0"/>
    <x v="3"/>
    <x v="5"/>
  </r>
  <r>
    <s v="ORD00111"/>
    <s v="2025-05-31"/>
    <s v="CHOC0092"/>
    <s v="Silk Sensation"/>
    <x v="2"/>
    <n v="3.47"/>
    <n v="1107"/>
    <n v="3841.29"/>
    <n v="576.19000000000005"/>
    <n v="3265.1"/>
    <x v="1"/>
    <x v="1"/>
    <x v="4"/>
  </r>
  <r>
    <s v="ORD00112"/>
    <s v="2025-03-31"/>
    <s v="CHOC0021"/>
    <s v="Choco Luxe"/>
    <x v="2"/>
    <n v="9.8699999999999992"/>
    <n v="513"/>
    <n v="5063.3100000000004"/>
    <n v="759.5"/>
    <n v="4303.8100000000004"/>
    <x v="1"/>
    <x v="1"/>
    <x v="4"/>
  </r>
  <r>
    <s v="ORD00113"/>
    <s v="2025-08-25"/>
    <s v="CHOC0164"/>
    <s v="Berry Infusion"/>
    <x v="2"/>
    <n v="4.95"/>
    <n v="39"/>
    <n v="193.05"/>
    <n v="28.96"/>
    <n v="164.09"/>
    <x v="2"/>
    <x v="1"/>
    <x v="5"/>
  </r>
  <r>
    <s v="ORD00114"/>
    <s v="2025-08-15"/>
    <s v="CHOC0089"/>
    <s v="Lava Bite"/>
    <x v="5"/>
    <n v="10.130000000000001"/>
    <n v="888"/>
    <n v="8995.44"/>
    <n v="899.54"/>
    <n v="8095.9"/>
    <x v="4"/>
    <x v="3"/>
    <x v="4"/>
  </r>
  <r>
    <s v="ORD00115"/>
    <s v="2025-07-16"/>
    <s v="CHOC0124"/>
    <s v="Caramel Crunch"/>
    <x v="3"/>
    <n v="6.65"/>
    <n v="755"/>
    <n v="5020.75"/>
    <n v="502.08"/>
    <n v="4518.67"/>
    <x v="2"/>
    <x v="0"/>
    <x v="1"/>
  </r>
  <r>
    <s v="ORD00116"/>
    <s v="2025-07-22"/>
    <s v="CHOC0071"/>
    <s v="Dark Delight"/>
    <x v="4"/>
    <n v="13.18"/>
    <n v="1613"/>
    <n v="21259.34"/>
    <n v="0"/>
    <n v="21259.34"/>
    <x v="1"/>
    <x v="2"/>
    <x v="3"/>
  </r>
  <r>
    <s v="ORD00117"/>
    <s v="2025-04-28"/>
    <s v="CHOC0156"/>
    <s v="Silk Sensation"/>
    <x v="3"/>
    <n v="10.09"/>
    <n v="1291"/>
    <n v="13026.19"/>
    <n v="1302.6199999999999"/>
    <n v="11723.57"/>
    <x v="3"/>
    <x v="0"/>
    <x v="1"/>
  </r>
  <r>
    <s v="ORD00118"/>
    <s v="2025-11-27"/>
    <s v="CHOC0011"/>
    <s v="Minty Magic"/>
    <x v="2"/>
    <n v="1.95"/>
    <n v="767"/>
    <n v="1495.65"/>
    <n v="74.78"/>
    <n v="1420.87"/>
    <x v="0"/>
    <x v="3"/>
    <x v="3"/>
  </r>
  <r>
    <s v="ORD00119"/>
    <s v="2025-08-01"/>
    <s v="CHOC0045"/>
    <s v="Velvet Truffle"/>
    <x v="3"/>
    <n v="12.12"/>
    <n v="1814"/>
    <n v="21985.68"/>
    <n v="2198.5700000000002"/>
    <n v="19787.11"/>
    <x v="1"/>
    <x v="3"/>
    <x v="4"/>
  </r>
  <r>
    <s v="ORD00120"/>
    <s v="2025-05-12"/>
    <s v="CHOC0124"/>
    <s v="Minty Magic"/>
    <x v="0"/>
    <n v="13.25"/>
    <n v="1667"/>
    <n v="22087.75"/>
    <n v="0"/>
    <n v="22087.75"/>
    <x v="4"/>
    <x v="0"/>
    <x v="4"/>
  </r>
  <r>
    <s v="ORD00121"/>
    <s v="2025-04-26"/>
    <s v="CHOC0174"/>
    <s v="Classic Cocoa"/>
    <x v="4"/>
    <n v="6.44"/>
    <n v="1639"/>
    <n v="10555.16"/>
    <n v="1583.27"/>
    <n v="8971.89"/>
    <x v="0"/>
    <x v="3"/>
    <x v="0"/>
  </r>
  <r>
    <s v="ORD00122"/>
    <s v="2025-03-05"/>
    <s v="CHOC0117"/>
    <s v="Silk Sensation"/>
    <x v="0"/>
    <n v="11.61"/>
    <n v="556"/>
    <n v="6455.16"/>
    <n v="968.27"/>
    <n v="5486.89"/>
    <x v="2"/>
    <x v="0"/>
    <x v="1"/>
  </r>
  <r>
    <s v="ORD00123"/>
    <s v="2025-04-30"/>
    <s v="CHOC0121"/>
    <s v="Dark Delight"/>
    <x v="4"/>
    <n v="13.44"/>
    <n v="1169"/>
    <n v="15711.36"/>
    <n v="1571.14"/>
    <n v="14140.22"/>
    <x v="1"/>
    <x v="1"/>
    <x v="1"/>
  </r>
  <r>
    <s v="ORD00124"/>
    <s v="2025-02-02"/>
    <s v="CHOC0163"/>
    <s v="Choco Fusion"/>
    <x v="0"/>
    <n v="5.58"/>
    <n v="856"/>
    <n v="4776.4799999999996"/>
    <n v="0"/>
    <n v="4776.4799999999996"/>
    <x v="3"/>
    <x v="0"/>
    <x v="5"/>
  </r>
  <r>
    <s v="ORD00125"/>
    <s v="2025-06-05"/>
    <s v="CHOC0127"/>
    <s v="Caramel Crunch"/>
    <x v="1"/>
    <n v="4.67"/>
    <n v="1120"/>
    <n v="5230.3999999999996"/>
    <n v="261.52"/>
    <n v="4968.88"/>
    <x v="4"/>
    <x v="2"/>
    <x v="3"/>
  </r>
  <r>
    <s v="ORD00126"/>
    <s v="2025-12-10"/>
    <s v="CHOC0191"/>
    <s v="White Pearl"/>
    <x v="2"/>
    <n v="9.43"/>
    <n v="1508"/>
    <n v="14220.44"/>
    <n v="711.02"/>
    <n v="13509.42"/>
    <x v="4"/>
    <x v="0"/>
    <x v="2"/>
  </r>
  <r>
    <s v="ORD00127"/>
    <s v="2025-11-12"/>
    <s v="CHOC0105"/>
    <s v="Berry Infusion"/>
    <x v="1"/>
    <n v="10.82"/>
    <n v="464"/>
    <n v="5020.4799999999996"/>
    <n v="753.07"/>
    <n v="4267.41"/>
    <x v="4"/>
    <x v="1"/>
    <x v="3"/>
  </r>
  <r>
    <s v="ORD00128"/>
    <s v="2025-02-20"/>
    <s v="CHOC0176"/>
    <s v="Silk Sensation"/>
    <x v="4"/>
    <n v="13.67"/>
    <n v="1340"/>
    <n v="18317.8"/>
    <n v="1831.78"/>
    <n v="16486.02"/>
    <x v="0"/>
    <x v="2"/>
    <x v="3"/>
  </r>
  <r>
    <s v="ORD00129"/>
    <s v="2025-04-08"/>
    <s v="CHOC0032"/>
    <s v="Choco Fusion"/>
    <x v="1"/>
    <n v="10.45"/>
    <n v="1334"/>
    <n v="13940.3"/>
    <n v="0"/>
    <n v="13940.3"/>
    <x v="0"/>
    <x v="3"/>
    <x v="4"/>
  </r>
  <r>
    <s v="ORD00130"/>
    <s v="2025-03-06"/>
    <s v="CHOC0145"/>
    <s v="Velvet Truffle"/>
    <x v="1"/>
    <n v="12.7"/>
    <n v="1155"/>
    <n v="14668.5"/>
    <n v="733.43"/>
    <n v="13935.07"/>
    <x v="1"/>
    <x v="1"/>
    <x v="4"/>
  </r>
  <r>
    <s v="ORD00131"/>
    <s v="2025-06-18"/>
    <s v="CHOC0199"/>
    <s v="Almond Elegance"/>
    <x v="4"/>
    <n v="1.54"/>
    <n v="1778"/>
    <n v="2738.12"/>
    <n v="136.91"/>
    <n v="2601.21"/>
    <x v="3"/>
    <x v="3"/>
    <x v="4"/>
  </r>
  <r>
    <s v="ORD00132"/>
    <s v="2025-02-26"/>
    <s v="CHOC0170"/>
    <s v="Dark Delight"/>
    <x v="3"/>
    <n v="1.7"/>
    <n v="1637"/>
    <n v="2782.9"/>
    <n v="139.15"/>
    <n v="2643.75"/>
    <x v="1"/>
    <x v="3"/>
    <x v="5"/>
  </r>
  <r>
    <s v="ORD00133"/>
    <s v="2025-03-31"/>
    <s v="CHOC0068"/>
    <s v="Milk Bliss"/>
    <x v="3"/>
    <n v="11.51"/>
    <n v="1097"/>
    <n v="12626.47"/>
    <n v="0"/>
    <n v="12626.47"/>
    <x v="0"/>
    <x v="2"/>
    <x v="2"/>
  </r>
  <r>
    <s v="ORD00134"/>
    <s v="2025-07-05"/>
    <s v="CHOC0132"/>
    <s v="Lava Bite"/>
    <x v="1"/>
    <n v="7.6"/>
    <n v="473"/>
    <n v="3594.8"/>
    <n v="0"/>
    <n v="3594.8"/>
    <x v="1"/>
    <x v="3"/>
    <x v="2"/>
  </r>
  <r>
    <s v="ORD00135"/>
    <s v="2025-11-26"/>
    <s v="CHOC0008"/>
    <s v="Milk Bliss"/>
    <x v="2"/>
    <n v="12.94"/>
    <n v="893"/>
    <n v="11555.42"/>
    <n v="0"/>
    <n v="11555.42"/>
    <x v="4"/>
    <x v="2"/>
    <x v="5"/>
  </r>
  <r>
    <s v="ORD00136"/>
    <s v="2025-02-11"/>
    <s v="CHOC0083"/>
    <s v="Choco Luxe"/>
    <x v="3"/>
    <n v="2.39"/>
    <n v="583"/>
    <n v="1393.37"/>
    <n v="139.34"/>
    <n v="1254.03"/>
    <x v="4"/>
    <x v="3"/>
    <x v="2"/>
  </r>
  <r>
    <s v="ORD00137"/>
    <s v="2025-09-16"/>
    <s v="CHOC0155"/>
    <s v="Royal Fudge"/>
    <x v="1"/>
    <n v="12.21"/>
    <n v="254"/>
    <n v="3101.34"/>
    <n v="155.07"/>
    <n v="2946.27"/>
    <x v="4"/>
    <x v="2"/>
    <x v="4"/>
  </r>
  <r>
    <s v="ORD00138"/>
    <s v="2025-07-31"/>
    <s v="CHOC0087"/>
    <s v="Choco Fusion"/>
    <x v="2"/>
    <n v="7.12"/>
    <n v="214"/>
    <n v="1523.68"/>
    <n v="152.37"/>
    <n v="1371.31"/>
    <x v="4"/>
    <x v="3"/>
    <x v="1"/>
  </r>
  <r>
    <s v="ORD00139"/>
    <s v="2025-05-11"/>
    <s v="CHOC0096"/>
    <s v="Almond Elegance"/>
    <x v="0"/>
    <n v="13.96"/>
    <n v="157"/>
    <n v="2191.7199999999998"/>
    <n v="0"/>
    <n v="2191.7199999999998"/>
    <x v="0"/>
    <x v="0"/>
    <x v="2"/>
  </r>
  <r>
    <s v="ORD00140"/>
    <s v="2025-02-19"/>
    <s v="CHOC0191"/>
    <s v="Silk Sensation"/>
    <x v="3"/>
    <n v="9.01"/>
    <n v="1221"/>
    <n v="11001.21"/>
    <n v="1100.1199999999999"/>
    <n v="9901.09"/>
    <x v="0"/>
    <x v="2"/>
    <x v="3"/>
  </r>
  <r>
    <s v="ORD00141"/>
    <s v="2025-12-07"/>
    <s v="CHOC0193"/>
    <s v="Royal Fudge"/>
    <x v="0"/>
    <n v="2.19"/>
    <n v="609"/>
    <n v="1333.71"/>
    <n v="133.37"/>
    <n v="1200.3399999999999"/>
    <x v="2"/>
    <x v="0"/>
    <x v="0"/>
  </r>
  <r>
    <s v="ORD00142"/>
    <s v="2025-09-17"/>
    <s v="CHOC0055"/>
    <s v="Almond Elegance"/>
    <x v="0"/>
    <n v="8.01"/>
    <n v="1755"/>
    <n v="14057.55"/>
    <n v="0"/>
    <n v="14057.55"/>
    <x v="2"/>
    <x v="3"/>
    <x v="5"/>
  </r>
  <r>
    <s v="ORD00143"/>
    <s v="2025-05-23"/>
    <s v="CHOC0147"/>
    <s v="Choco Supreme"/>
    <x v="2"/>
    <n v="12.91"/>
    <n v="1591"/>
    <n v="20539.810000000001"/>
    <n v="0"/>
    <n v="20539.810000000001"/>
    <x v="1"/>
    <x v="3"/>
    <x v="5"/>
  </r>
  <r>
    <s v="ORD00144"/>
    <s v="2025-04-03"/>
    <s v="CHOC0070"/>
    <s v="Minty Magic"/>
    <x v="5"/>
    <n v="6.24"/>
    <n v="391"/>
    <n v="2439.84"/>
    <n v="121.99"/>
    <n v="2317.85"/>
    <x v="1"/>
    <x v="2"/>
    <x v="5"/>
  </r>
  <r>
    <s v="ORD00145"/>
    <s v="2025-03-14"/>
    <s v="CHOC0190"/>
    <s v="Dark Delight"/>
    <x v="1"/>
    <n v="11.57"/>
    <n v="460"/>
    <n v="5322.2"/>
    <n v="798.33"/>
    <n v="4523.87"/>
    <x v="4"/>
    <x v="2"/>
    <x v="3"/>
  </r>
  <r>
    <s v="ORD00146"/>
    <s v="2025-03-22"/>
    <s v="CHOC0095"/>
    <s v="Minty Magic"/>
    <x v="0"/>
    <n v="5.88"/>
    <n v="1948"/>
    <n v="11454.24"/>
    <n v="0"/>
    <n v="11454.24"/>
    <x v="0"/>
    <x v="1"/>
    <x v="4"/>
  </r>
  <r>
    <s v="ORD00147"/>
    <s v="2025-11-13"/>
    <s v="CHOC0013"/>
    <s v="Hazelnut Heaven"/>
    <x v="5"/>
    <n v="7.48"/>
    <n v="888"/>
    <n v="6642.24"/>
    <n v="996.34"/>
    <n v="5645.9"/>
    <x v="1"/>
    <x v="2"/>
    <x v="2"/>
  </r>
  <r>
    <s v="ORD00148"/>
    <s v="2025-05-20"/>
    <s v="CHOC0056"/>
    <s v="Mocha Dream"/>
    <x v="1"/>
    <n v="6.16"/>
    <n v="247"/>
    <n v="1521.52"/>
    <n v="152.15"/>
    <n v="1369.37"/>
    <x v="1"/>
    <x v="2"/>
    <x v="0"/>
  </r>
  <r>
    <s v="ORD00149"/>
    <s v="2025-12-08"/>
    <s v="CHOC0079"/>
    <s v="Milk Bliss"/>
    <x v="3"/>
    <n v="6.84"/>
    <n v="1247"/>
    <n v="8529.48"/>
    <n v="0"/>
    <n v="8529.48"/>
    <x v="0"/>
    <x v="1"/>
    <x v="3"/>
  </r>
  <r>
    <s v="ORD00150"/>
    <s v="2025-04-19"/>
    <s v="CHOC0197"/>
    <s v="Almond Elegance"/>
    <x v="5"/>
    <n v="5.41"/>
    <n v="265"/>
    <n v="1433.65"/>
    <n v="0"/>
    <n v="1433.65"/>
    <x v="4"/>
    <x v="2"/>
    <x v="4"/>
  </r>
  <r>
    <s v="ORD00151"/>
    <s v="2025-03-08"/>
    <s v="CHOC0098"/>
    <s v="White Pearl"/>
    <x v="0"/>
    <n v="4.6100000000000003"/>
    <n v="1164"/>
    <n v="5366.04"/>
    <n v="536.6"/>
    <n v="4829.4399999999996"/>
    <x v="0"/>
    <x v="2"/>
    <x v="1"/>
  </r>
  <r>
    <s v="ORD00152"/>
    <s v="2025-01-22"/>
    <s v="CHOC0112"/>
    <s v="Dark Delight"/>
    <x v="2"/>
    <n v="13.94"/>
    <n v="1785"/>
    <n v="24882.9"/>
    <n v="2488.29"/>
    <n v="22394.61"/>
    <x v="1"/>
    <x v="2"/>
    <x v="0"/>
  </r>
  <r>
    <s v="ORD00153"/>
    <s v="2025-07-27"/>
    <s v="CHOC0182"/>
    <s v="Royal Fudge"/>
    <x v="5"/>
    <n v="3.05"/>
    <n v="62"/>
    <n v="189.1"/>
    <n v="18.91"/>
    <n v="170.19"/>
    <x v="3"/>
    <x v="2"/>
    <x v="1"/>
  </r>
  <r>
    <s v="ORD00154"/>
    <s v="2025-07-05"/>
    <s v="CHOC0023"/>
    <s v="Royal Fudge"/>
    <x v="1"/>
    <n v="4.78"/>
    <n v="1226"/>
    <n v="5860.28"/>
    <n v="879.04"/>
    <n v="4981.24"/>
    <x v="1"/>
    <x v="0"/>
    <x v="2"/>
  </r>
  <r>
    <s v="ORD00155"/>
    <s v="2025-06-08"/>
    <s v="CHOC0191"/>
    <s v="Golden Nougat"/>
    <x v="3"/>
    <n v="6"/>
    <n v="364"/>
    <n v="2184"/>
    <n v="0"/>
    <n v="2184"/>
    <x v="1"/>
    <x v="0"/>
    <x v="0"/>
  </r>
  <r>
    <s v="ORD00156"/>
    <s v="2025-09-19"/>
    <s v="CHOC0050"/>
    <s v="Silk Sensation"/>
    <x v="5"/>
    <n v="11.32"/>
    <n v="1697"/>
    <n v="19210.04"/>
    <n v="960.5"/>
    <n v="18249.54"/>
    <x v="3"/>
    <x v="0"/>
    <x v="4"/>
  </r>
  <r>
    <s v="ORD00157"/>
    <s v="2025-05-12"/>
    <s v="CHOC0051"/>
    <s v="Cocoa Royale"/>
    <x v="4"/>
    <n v="3.56"/>
    <n v="1574"/>
    <n v="5603.44"/>
    <n v="0"/>
    <n v="5603.44"/>
    <x v="3"/>
    <x v="2"/>
    <x v="2"/>
  </r>
  <r>
    <s v="ORD00158"/>
    <s v="2025-10-16"/>
    <s v="CHOC0195"/>
    <s v="Lava Bite"/>
    <x v="2"/>
    <n v="10.7"/>
    <n v="1826"/>
    <n v="19538.2"/>
    <n v="1953.82"/>
    <n v="17584.38"/>
    <x v="2"/>
    <x v="1"/>
    <x v="2"/>
  </r>
  <r>
    <s v="ORD00159"/>
    <s v="2025-02-04"/>
    <s v="CHOC0121"/>
    <s v="Choco Fusion"/>
    <x v="0"/>
    <n v="5.59"/>
    <n v="582"/>
    <n v="3253.38"/>
    <n v="0"/>
    <n v="3253.38"/>
    <x v="2"/>
    <x v="0"/>
    <x v="3"/>
  </r>
  <r>
    <s v="ORD00160"/>
    <s v="2025-08-25"/>
    <s v="CHOC0116"/>
    <s v="Milk Bliss"/>
    <x v="1"/>
    <n v="6.48"/>
    <n v="607"/>
    <n v="3933.36"/>
    <n v="0"/>
    <n v="3933.36"/>
    <x v="0"/>
    <x v="2"/>
    <x v="2"/>
  </r>
  <r>
    <s v="ORD00161"/>
    <s v="2025-10-25"/>
    <s v="CHOC0142"/>
    <s v="Milk Bliss"/>
    <x v="2"/>
    <n v="13.77"/>
    <n v="1190"/>
    <n v="16386.3"/>
    <n v="819.32"/>
    <n v="15566.98"/>
    <x v="2"/>
    <x v="2"/>
    <x v="0"/>
  </r>
  <r>
    <s v="ORD00162"/>
    <s v="2025-03-19"/>
    <s v="CHOC0016"/>
    <s v="Choco Fusion"/>
    <x v="1"/>
    <n v="12.45"/>
    <n v="1734"/>
    <n v="21588.3"/>
    <n v="2158.83"/>
    <n v="19429.47"/>
    <x v="0"/>
    <x v="1"/>
    <x v="5"/>
  </r>
  <r>
    <s v="ORD00163"/>
    <s v="2025-05-07"/>
    <s v="CHOC0182"/>
    <s v="Choco Fusion"/>
    <x v="2"/>
    <n v="8.57"/>
    <n v="1268"/>
    <n v="10866.76"/>
    <n v="543.34"/>
    <n v="10323.42"/>
    <x v="2"/>
    <x v="3"/>
    <x v="3"/>
  </r>
  <r>
    <s v="ORD00164"/>
    <s v="2025-07-18"/>
    <s v="CHOC0105"/>
    <s v="Golden Nougat"/>
    <x v="0"/>
    <n v="9.57"/>
    <n v="1636"/>
    <n v="15656.52"/>
    <n v="1565.65"/>
    <n v="14090.87"/>
    <x v="0"/>
    <x v="3"/>
    <x v="5"/>
  </r>
  <r>
    <s v="ORD00165"/>
    <s v="2025-10-13"/>
    <s v="CHOC0174"/>
    <s v="Classic Cocoa"/>
    <x v="5"/>
    <n v="4.9000000000000004"/>
    <n v="1764"/>
    <n v="8643.6"/>
    <n v="432.18"/>
    <n v="8211.42"/>
    <x v="2"/>
    <x v="0"/>
    <x v="0"/>
  </r>
  <r>
    <s v="ORD00166"/>
    <s v="2025-12-06"/>
    <s v="CHOC0037"/>
    <s v="Silk Sensation"/>
    <x v="5"/>
    <n v="14.56"/>
    <n v="1450"/>
    <n v="21112"/>
    <n v="3166.8"/>
    <n v="17945.2"/>
    <x v="3"/>
    <x v="0"/>
    <x v="3"/>
  </r>
  <r>
    <s v="ORD00167"/>
    <s v="2025-10-14"/>
    <s v="CHOC0097"/>
    <s v="Golden Nougat"/>
    <x v="3"/>
    <n v="10.55"/>
    <n v="1717"/>
    <n v="18114.349999999999"/>
    <n v="0"/>
    <n v="18114.349999999999"/>
    <x v="4"/>
    <x v="3"/>
    <x v="5"/>
  </r>
  <r>
    <s v="ORD00168"/>
    <s v="2025-07-05"/>
    <s v="CHOC0080"/>
    <s v="Cocoa Royale"/>
    <x v="3"/>
    <n v="6.11"/>
    <n v="1589"/>
    <n v="9708.7900000000009"/>
    <n v="1456.32"/>
    <n v="8252.4699999999993"/>
    <x v="3"/>
    <x v="1"/>
    <x v="4"/>
  </r>
  <r>
    <s v="ORD00169"/>
    <s v="2025-03-21"/>
    <s v="CHOC0020"/>
    <s v="Minty Magic"/>
    <x v="1"/>
    <n v="8.35"/>
    <n v="1125"/>
    <n v="9393.75"/>
    <n v="0"/>
    <n v="9393.75"/>
    <x v="2"/>
    <x v="1"/>
    <x v="0"/>
  </r>
  <r>
    <s v="ORD00170"/>
    <s v="2025-07-12"/>
    <s v="CHOC0040"/>
    <s v="Cocoa Royale"/>
    <x v="3"/>
    <n v="12.72"/>
    <n v="1599"/>
    <n v="20339.28"/>
    <n v="1016.96"/>
    <n v="19322.32"/>
    <x v="4"/>
    <x v="0"/>
    <x v="2"/>
  </r>
  <r>
    <s v="ORD00171"/>
    <s v="2025-07-06"/>
    <s v="CHOC0174"/>
    <s v="Choco Supreme"/>
    <x v="2"/>
    <n v="9.74"/>
    <n v="1560"/>
    <n v="15194.4"/>
    <n v="2279.16"/>
    <n v="12915.24"/>
    <x v="3"/>
    <x v="1"/>
    <x v="3"/>
  </r>
  <r>
    <s v="ORD00172"/>
    <s v="2025-08-29"/>
    <s v="CHOC0050"/>
    <s v="Silk Sensation"/>
    <x v="0"/>
    <n v="14.29"/>
    <n v="922"/>
    <n v="13175.38"/>
    <n v="1976.31"/>
    <n v="11199.07"/>
    <x v="2"/>
    <x v="2"/>
    <x v="0"/>
  </r>
  <r>
    <s v="ORD00173"/>
    <s v="2025-09-28"/>
    <s v="CHOC0108"/>
    <s v="Cocoa Royale"/>
    <x v="3"/>
    <n v="12.32"/>
    <n v="303"/>
    <n v="3732.96"/>
    <n v="373.3"/>
    <n v="3359.66"/>
    <x v="0"/>
    <x v="2"/>
    <x v="3"/>
  </r>
  <r>
    <s v="ORD00174"/>
    <s v="2025-10-11"/>
    <s v="CHOC0027"/>
    <s v="Mocha Dream"/>
    <x v="1"/>
    <n v="5.35"/>
    <n v="1582"/>
    <n v="8463.7000000000007"/>
    <n v="423.19"/>
    <n v="8040.51"/>
    <x v="2"/>
    <x v="2"/>
    <x v="0"/>
  </r>
  <r>
    <s v="ORD00175"/>
    <s v="2025-03-17"/>
    <s v="CHOC0112"/>
    <s v="Hazelnut Heaven"/>
    <x v="3"/>
    <n v="12.53"/>
    <n v="1831"/>
    <n v="22942.43"/>
    <n v="2294.2399999999998"/>
    <n v="20648.189999999999"/>
    <x v="0"/>
    <x v="2"/>
    <x v="5"/>
  </r>
  <r>
    <s v="ORD00176"/>
    <s v="2025-07-22"/>
    <s v="CHOC0129"/>
    <s v="Silk Sensation"/>
    <x v="3"/>
    <n v="6.71"/>
    <n v="187"/>
    <n v="1254.77"/>
    <n v="125.48"/>
    <n v="1129.29"/>
    <x v="3"/>
    <x v="0"/>
    <x v="3"/>
  </r>
  <r>
    <s v="ORD00177"/>
    <s v="2025-02-20"/>
    <s v="CHOC0183"/>
    <s v="Golden Nougat"/>
    <x v="3"/>
    <n v="3.36"/>
    <n v="607"/>
    <n v="2039.52"/>
    <n v="305.93"/>
    <n v="1733.59"/>
    <x v="3"/>
    <x v="2"/>
    <x v="2"/>
  </r>
  <r>
    <s v="ORD00178"/>
    <s v="2025-11-12"/>
    <s v="CHOC0002"/>
    <s v="Hazelnut Heaven"/>
    <x v="1"/>
    <n v="4.95"/>
    <n v="1730"/>
    <n v="8563.5"/>
    <n v="428.18"/>
    <n v="8135.32"/>
    <x v="1"/>
    <x v="2"/>
    <x v="5"/>
  </r>
  <r>
    <s v="ORD00179"/>
    <s v="2025-05-28"/>
    <s v="CHOC0061"/>
    <s v="Minty Magic"/>
    <x v="1"/>
    <n v="2.14"/>
    <n v="879"/>
    <n v="1881.06"/>
    <n v="282.16000000000003"/>
    <n v="1598.9"/>
    <x v="0"/>
    <x v="0"/>
    <x v="2"/>
  </r>
  <r>
    <s v="ORD00180"/>
    <s v="2025-11-02"/>
    <s v="CHOC0138"/>
    <s v="Dark Delight"/>
    <x v="0"/>
    <n v="8.4600000000000009"/>
    <n v="515"/>
    <n v="4356.8999999999996"/>
    <n v="217.84"/>
    <n v="4139.0600000000004"/>
    <x v="2"/>
    <x v="2"/>
    <x v="5"/>
  </r>
  <r>
    <s v="ORD00181"/>
    <s v="2025-11-11"/>
    <s v="CHOC0091"/>
    <s v="Choco Supreme"/>
    <x v="4"/>
    <n v="7.12"/>
    <n v="1380"/>
    <n v="9825.6"/>
    <n v="0"/>
    <n v="9825.6"/>
    <x v="1"/>
    <x v="3"/>
    <x v="5"/>
  </r>
  <r>
    <s v="ORD00182"/>
    <s v="2025-09-27"/>
    <s v="CHOC0140"/>
    <s v="Mocha Dream"/>
    <x v="4"/>
    <n v="8.98"/>
    <n v="819"/>
    <n v="7354.62"/>
    <n v="1103.19"/>
    <n v="6251.43"/>
    <x v="0"/>
    <x v="2"/>
    <x v="3"/>
  </r>
  <r>
    <s v="ORD00183"/>
    <s v="2025-05-10"/>
    <s v="CHOC0192"/>
    <s v="Dark Delight"/>
    <x v="5"/>
    <n v="12.15"/>
    <n v="726"/>
    <n v="8820.9"/>
    <n v="441.05"/>
    <n v="8379.85"/>
    <x v="0"/>
    <x v="3"/>
    <x v="4"/>
  </r>
  <r>
    <s v="ORD00184"/>
    <s v="2025-01-23"/>
    <s v="CHOC0091"/>
    <s v="White Pearl"/>
    <x v="5"/>
    <n v="12.48"/>
    <n v="378"/>
    <n v="4717.4399999999996"/>
    <n v="707.62"/>
    <n v="4009.82"/>
    <x v="4"/>
    <x v="1"/>
    <x v="4"/>
  </r>
  <r>
    <s v="ORD00185"/>
    <s v="2025-02-02"/>
    <s v="CHOC0184"/>
    <s v="Choco Fusion"/>
    <x v="1"/>
    <n v="5.46"/>
    <n v="109"/>
    <n v="595.14"/>
    <n v="29.76"/>
    <n v="565.38"/>
    <x v="0"/>
    <x v="3"/>
    <x v="3"/>
  </r>
  <r>
    <s v="ORD00186"/>
    <s v="2025-09-21"/>
    <s v="CHOC0102"/>
    <s v="White Pearl"/>
    <x v="2"/>
    <n v="4.92"/>
    <n v="1562"/>
    <n v="7685.04"/>
    <n v="384.25"/>
    <n v="7300.79"/>
    <x v="2"/>
    <x v="3"/>
    <x v="5"/>
  </r>
  <r>
    <s v="ORD00187"/>
    <s v="2025-12-02"/>
    <s v="CHOC0085"/>
    <s v="Berry Infusion"/>
    <x v="1"/>
    <n v="12.29"/>
    <n v="914"/>
    <n v="11233.06"/>
    <n v="1684.96"/>
    <n v="9548.1"/>
    <x v="4"/>
    <x v="2"/>
    <x v="3"/>
  </r>
  <r>
    <s v="ORD00188"/>
    <s v="2025-04-06"/>
    <s v="CHOC0128"/>
    <s v="Crispy Wafer"/>
    <x v="5"/>
    <n v="13.98"/>
    <n v="1083"/>
    <n v="15140.34"/>
    <n v="1514.03"/>
    <n v="13626.31"/>
    <x v="0"/>
    <x v="2"/>
    <x v="5"/>
  </r>
  <r>
    <s v="ORD00189"/>
    <s v="2025-08-09"/>
    <s v="CHOC0155"/>
    <s v="Cocoa Royale"/>
    <x v="4"/>
    <n v="5.47"/>
    <n v="230"/>
    <n v="1258.0999999999999"/>
    <n v="0"/>
    <n v="1258.0999999999999"/>
    <x v="2"/>
    <x v="3"/>
    <x v="3"/>
  </r>
  <r>
    <s v="ORD00190"/>
    <s v="2025-08-17"/>
    <s v="CHOC0155"/>
    <s v="Royal Fudge"/>
    <x v="3"/>
    <n v="10.81"/>
    <n v="739"/>
    <n v="7988.59"/>
    <n v="1198.29"/>
    <n v="6790.3"/>
    <x v="0"/>
    <x v="3"/>
    <x v="0"/>
  </r>
  <r>
    <s v="ORD00191"/>
    <s v="2025-08-11"/>
    <s v="CHOC0071"/>
    <s v="Milk Bliss"/>
    <x v="1"/>
    <n v="10.56"/>
    <n v="851"/>
    <n v="8986.56"/>
    <n v="898.66"/>
    <n v="8087.9"/>
    <x v="1"/>
    <x v="1"/>
    <x v="5"/>
  </r>
  <r>
    <s v="ORD00192"/>
    <s v="2025-03-15"/>
    <s v="CHOC0156"/>
    <s v="Choco Fusion"/>
    <x v="1"/>
    <n v="3.2"/>
    <n v="503"/>
    <n v="1609.6"/>
    <n v="160.96"/>
    <n v="1448.64"/>
    <x v="2"/>
    <x v="2"/>
    <x v="0"/>
  </r>
  <r>
    <s v="ORD00193"/>
    <s v="2025-01-17"/>
    <s v="CHOC0155"/>
    <s v="Almond Elegance"/>
    <x v="0"/>
    <n v="7.57"/>
    <n v="779"/>
    <n v="5897.03"/>
    <n v="589.70000000000005"/>
    <n v="5307.33"/>
    <x v="4"/>
    <x v="0"/>
    <x v="0"/>
  </r>
  <r>
    <s v="ORD00194"/>
    <s v="2025-03-12"/>
    <s v="CHOC0136"/>
    <s v="Silk Sensation"/>
    <x v="2"/>
    <n v="5.74"/>
    <n v="590"/>
    <n v="3386.6"/>
    <n v="169.33"/>
    <n v="3217.27"/>
    <x v="0"/>
    <x v="0"/>
    <x v="1"/>
  </r>
  <r>
    <s v="ORD00195"/>
    <s v="2025-04-06"/>
    <s v="CHOC0128"/>
    <s v="Mocha Dream"/>
    <x v="2"/>
    <n v="13.83"/>
    <n v="261"/>
    <n v="3609.63"/>
    <n v="360.96"/>
    <n v="3248.67"/>
    <x v="2"/>
    <x v="2"/>
    <x v="4"/>
  </r>
  <r>
    <s v="ORD00196"/>
    <s v="2025-11-10"/>
    <s v="CHOC0074"/>
    <s v="Crispy Wafer"/>
    <x v="3"/>
    <n v="3.16"/>
    <n v="1766"/>
    <n v="5580.56"/>
    <n v="0"/>
    <n v="5580.56"/>
    <x v="4"/>
    <x v="1"/>
    <x v="1"/>
  </r>
  <r>
    <s v="ORD00197"/>
    <s v="2025-08-16"/>
    <s v="CHOC0023"/>
    <s v="Golden Nougat"/>
    <x v="0"/>
    <n v="6.19"/>
    <n v="152"/>
    <n v="940.88"/>
    <n v="94.09"/>
    <n v="846.79"/>
    <x v="2"/>
    <x v="1"/>
    <x v="1"/>
  </r>
  <r>
    <s v="ORD00198"/>
    <s v="2025-12-30"/>
    <s v="CHOC0180"/>
    <s v="Cocoa Royale"/>
    <x v="5"/>
    <n v="8.3699999999999992"/>
    <n v="268"/>
    <n v="2243.16"/>
    <n v="112.16"/>
    <n v="2131"/>
    <x v="3"/>
    <x v="1"/>
    <x v="2"/>
  </r>
  <r>
    <s v="ORD00199"/>
    <s v="2025-01-14"/>
    <s v="CHOC0093"/>
    <s v="White Pearl"/>
    <x v="4"/>
    <n v="6.48"/>
    <n v="1665"/>
    <n v="10789.2"/>
    <n v="539.46"/>
    <n v="10249.74"/>
    <x v="1"/>
    <x v="0"/>
    <x v="5"/>
  </r>
  <r>
    <s v="ORD00200"/>
    <s v="2025-06-08"/>
    <s v="CHOC0102"/>
    <s v="Crispy Wafer"/>
    <x v="4"/>
    <n v="7.05"/>
    <n v="858"/>
    <n v="6048.9"/>
    <n v="0"/>
    <n v="6048.9"/>
    <x v="3"/>
    <x v="3"/>
    <x v="1"/>
  </r>
  <r>
    <s v="ORD00201"/>
    <s v="2025-02-07"/>
    <s v="CHOC0116"/>
    <s v="Choco Fusion"/>
    <x v="0"/>
    <n v="8.48"/>
    <n v="282"/>
    <n v="2391.36"/>
    <n v="119.57"/>
    <n v="2271.79"/>
    <x v="3"/>
    <x v="2"/>
    <x v="0"/>
  </r>
  <r>
    <s v="ORD00202"/>
    <s v="2025-01-29"/>
    <s v="CHOC0032"/>
    <s v="Mocha Dream"/>
    <x v="3"/>
    <n v="5.61"/>
    <n v="351"/>
    <n v="1969.11"/>
    <n v="196.91"/>
    <n v="1772.2"/>
    <x v="3"/>
    <x v="3"/>
    <x v="0"/>
  </r>
  <r>
    <s v="ORD00203"/>
    <s v="2025-05-26"/>
    <s v="CHOC0021"/>
    <s v="Berry Infusion"/>
    <x v="3"/>
    <n v="10.07"/>
    <n v="1148"/>
    <n v="11560.36"/>
    <n v="1156.04"/>
    <n v="10404.32"/>
    <x v="3"/>
    <x v="3"/>
    <x v="0"/>
  </r>
  <r>
    <s v="ORD00204"/>
    <s v="2025-10-01"/>
    <s v="CHOC0024"/>
    <s v="Mocha Dream"/>
    <x v="0"/>
    <n v="3.78"/>
    <n v="1948"/>
    <n v="7363.44"/>
    <n v="368.17"/>
    <n v="6995.27"/>
    <x v="3"/>
    <x v="3"/>
    <x v="0"/>
  </r>
  <r>
    <s v="ORD00205"/>
    <s v="2025-01-22"/>
    <s v="CHOC0008"/>
    <s v="Hazelnut Heaven"/>
    <x v="1"/>
    <n v="14.31"/>
    <n v="1599"/>
    <n v="22881.69"/>
    <n v="2288.17"/>
    <n v="20593.52"/>
    <x v="3"/>
    <x v="2"/>
    <x v="0"/>
  </r>
  <r>
    <s v="ORD00206"/>
    <s v="2025-11-24"/>
    <s v="CHOC0008"/>
    <s v="Crispy Wafer"/>
    <x v="0"/>
    <n v="8.8699999999999992"/>
    <n v="1334"/>
    <n v="11832.58"/>
    <n v="1183.26"/>
    <n v="10649.32"/>
    <x v="4"/>
    <x v="1"/>
    <x v="1"/>
  </r>
  <r>
    <s v="ORD00207"/>
    <s v="2025-07-27"/>
    <s v="CHOC0077"/>
    <s v="Choco Fusion"/>
    <x v="1"/>
    <n v="10.8"/>
    <n v="343"/>
    <n v="3704.4"/>
    <n v="555.66"/>
    <n v="3148.74"/>
    <x v="4"/>
    <x v="2"/>
    <x v="2"/>
  </r>
  <r>
    <s v="ORD00208"/>
    <s v="2025-04-15"/>
    <s v="CHOC0088"/>
    <s v="Choco Luxe"/>
    <x v="3"/>
    <n v="5.72"/>
    <n v="1491"/>
    <n v="8528.52"/>
    <n v="852.85"/>
    <n v="7675.67"/>
    <x v="2"/>
    <x v="2"/>
    <x v="4"/>
  </r>
  <r>
    <s v="ORD00209"/>
    <s v="2025-07-09"/>
    <s v="CHOC0132"/>
    <s v="White Pearl"/>
    <x v="1"/>
    <n v="5.81"/>
    <n v="975"/>
    <n v="5664.75"/>
    <n v="0"/>
    <n v="5664.75"/>
    <x v="2"/>
    <x v="2"/>
    <x v="4"/>
  </r>
  <r>
    <s v="ORD00210"/>
    <s v="2025-03-14"/>
    <s v="CHOC0025"/>
    <s v="Milk Bliss"/>
    <x v="5"/>
    <n v="14.26"/>
    <n v="1789"/>
    <n v="25511.14"/>
    <n v="3826.67"/>
    <n v="21684.47"/>
    <x v="3"/>
    <x v="1"/>
    <x v="3"/>
  </r>
  <r>
    <s v="ORD00211"/>
    <s v="2025-10-23"/>
    <s v="CHOC0185"/>
    <s v="Golden Nougat"/>
    <x v="3"/>
    <n v="11.8"/>
    <n v="1040"/>
    <n v="12272"/>
    <n v="1840.8"/>
    <n v="10431.200000000001"/>
    <x v="4"/>
    <x v="3"/>
    <x v="2"/>
  </r>
  <r>
    <s v="ORD00212"/>
    <s v="2025-01-12"/>
    <s v="CHOC0024"/>
    <s v="Classic Cocoa"/>
    <x v="4"/>
    <n v="7.67"/>
    <n v="513"/>
    <n v="3934.71"/>
    <n v="196.74"/>
    <n v="3737.97"/>
    <x v="1"/>
    <x v="3"/>
    <x v="5"/>
  </r>
  <r>
    <s v="ORD00213"/>
    <s v="2025-01-26"/>
    <s v="CHOC0073"/>
    <s v="Crispy Wafer"/>
    <x v="4"/>
    <n v="13.41"/>
    <n v="1359"/>
    <n v="18224.189999999999"/>
    <n v="2733.63"/>
    <n v="15490.56"/>
    <x v="2"/>
    <x v="0"/>
    <x v="5"/>
  </r>
  <r>
    <s v="ORD00214"/>
    <s v="2025-08-09"/>
    <s v="CHOC0035"/>
    <s v="Berry Infusion"/>
    <x v="0"/>
    <n v="6.44"/>
    <n v="845"/>
    <n v="5441.8"/>
    <n v="544.17999999999995"/>
    <n v="4897.62"/>
    <x v="0"/>
    <x v="2"/>
    <x v="5"/>
  </r>
  <r>
    <s v="ORD00215"/>
    <s v="2025-10-19"/>
    <s v="CHOC0144"/>
    <s v="Velvet Truffle"/>
    <x v="5"/>
    <n v="8.9700000000000006"/>
    <n v="170"/>
    <n v="1524.9"/>
    <n v="228.74"/>
    <n v="1296.1600000000001"/>
    <x v="1"/>
    <x v="2"/>
    <x v="0"/>
  </r>
  <r>
    <s v="ORD00216"/>
    <s v="2025-05-24"/>
    <s v="CHOC0160"/>
    <s v="Choco Luxe"/>
    <x v="1"/>
    <n v="3.24"/>
    <n v="218"/>
    <n v="706.32"/>
    <n v="105.95"/>
    <n v="600.37"/>
    <x v="2"/>
    <x v="3"/>
    <x v="0"/>
  </r>
  <r>
    <s v="ORD00217"/>
    <s v="2025-07-07"/>
    <s v="CHOC0194"/>
    <s v="Almond Elegance"/>
    <x v="3"/>
    <n v="9.6300000000000008"/>
    <n v="842"/>
    <n v="8108.46"/>
    <n v="0"/>
    <n v="8108.46"/>
    <x v="0"/>
    <x v="0"/>
    <x v="4"/>
  </r>
  <r>
    <s v="ORD00218"/>
    <s v="2025-06-20"/>
    <s v="CHOC0122"/>
    <s v="Mocha Dream"/>
    <x v="2"/>
    <n v="3.51"/>
    <n v="1849"/>
    <n v="6489.99"/>
    <n v="324.5"/>
    <n v="6165.49"/>
    <x v="2"/>
    <x v="3"/>
    <x v="4"/>
  </r>
  <r>
    <s v="ORD00219"/>
    <s v="2025-07-21"/>
    <s v="CHOC0158"/>
    <s v="Minty Magic"/>
    <x v="4"/>
    <n v="6.04"/>
    <n v="1716"/>
    <n v="10364.64"/>
    <n v="1554.7"/>
    <n v="8809.94"/>
    <x v="1"/>
    <x v="3"/>
    <x v="2"/>
  </r>
  <r>
    <s v="ORD00220"/>
    <s v="2025-01-09"/>
    <s v="CHOC0095"/>
    <s v="Golden Nougat"/>
    <x v="0"/>
    <n v="2.98"/>
    <n v="873"/>
    <n v="2601.54"/>
    <n v="260.14999999999998"/>
    <n v="2341.39"/>
    <x v="0"/>
    <x v="2"/>
    <x v="3"/>
  </r>
  <r>
    <s v="ORD00221"/>
    <s v="2025-12-02"/>
    <s v="CHOC0199"/>
    <s v="Lava Bite"/>
    <x v="4"/>
    <n v="4.57"/>
    <n v="125"/>
    <n v="571.25"/>
    <n v="85.69"/>
    <n v="485.56"/>
    <x v="3"/>
    <x v="2"/>
    <x v="4"/>
  </r>
  <r>
    <s v="ORD00222"/>
    <s v="2025-12-15"/>
    <s v="CHOC0063"/>
    <s v="Milk Bliss"/>
    <x v="4"/>
    <n v="14.3"/>
    <n v="245"/>
    <n v="3503.5"/>
    <n v="175.18"/>
    <n v="3328.32"/>
    <x v="0"/>
    <x v="2"/>
    <x v="3"/>
  </r>
  <r>
    <s v="ORD00223"/>
    <s v="2025-08-03"/>
    <s v="CHOC0039"/>
    <s v="Royal Fudge"/>
    <x v="0"/>
    <n v="4.25"/>
    <n v="1047"/>
    <n v="4449.75"/>
    <n v="667.46"/>
    <n v="3782.29"/>
    <x v="0"/>
    <x v="1"/>
    <x v="0"/>
  </r>
  <r>
    <s v="ORD00224"/>
    <s v="2025-04-17"/>
    <s v="CHOC0144"/>
    <s v="Golden Nougat"/>
    <x v="0"/>
    <n v="7.96"/>
    <n v="791"/>
    <n v="6296.36"/>
    <n v="629.64"/>
    <n v="5666.72"/>
    <x v="3"/>
    <x v="2"/>
    <x v="0"/>
  </r>
  <r>
    <s v="ORD00225"/>
    <s v="2025-06-25"/>
    <s v="CHOC0140"/>
    <s v="Silk Sensation"/>
    <x v="0"/>
    <n v="11.92"/>
    <n v="1496"/>
    <n v="17832.32"/>
    <n v="1783.23"/>
    <n v="16049.09"/>
    <x v="1"/>
    <x v="2"/>
    <x v="4"/>
  </r>
  <r>
    <s v="ORD00226"/>
    <s v="2025-05-07"/>
    <s v="CHOC0072"/>
    <s v="White Pearl"/>
    <x v="5"/>
    <n v="4.54"/>
    <n v="629"/>
    <n v="2855.66"/>
    <n v="285.57"/>
    <n v="2570.09"/>
    <x v="3"/>
    <x v="2"/>
    <x v="3"/>
  </r>
  <r>
    <s v="ORD00227"/>
    <s v="2025-09-03"/>
    <s v="CHOC0090"/>
    <s v="White Pearl"/>
    <x v="0"/>
    <n v="5.19"/>
    <n v="269"/>
    <n v="1396.11"/>
    <n v="209.42"/>
    <n v="1186.69"/>
    <x v="4"/>
    <x v="3"/>
    <x v="4"/>
  </r>
  <r>
    <s v="ORD00228"/>
    <s v="2025-05-29"/>
    <s v="CHOC0011"/>
    <s v="Minty Magic"/>
    <x v="0"/>
    <n v="2.57"/>
    <n v="1912"/>
    <n v="4913.84"/>
    <n v="737.08"/>
    <n v="4176.76"/>
    <x v="2"/>
    <x v="2"/>
    <x v="4"/>
  </r>
  <r>
    <s v="ORD00229"/>
    <s v="2025-04-14"/>
    <s v="CHOC0138"/>
    <s v="Berry Infusion"/>
    <x v="4"/>
    <n v="10.9"/>
    <n v="301"/>
    <n v="3280.9"/>
    <n v="0"/>
    <n v="3280.9"/>
    <x v="1"/>
    <x v="1"/>
    <x v="4"/>
  </r>
  <r>
    <s v="ORD00230"/>
    <s v="2025-01-26"/>
    <s v="CHOC0172"/>
    <s v="Mocha Dream"/>
    <x v="3"/>
    <n v="10.11"/>
    <n v="127"/>
    <n v="1283.97"/>
    <n v="0"/>
    <n v="1283.97"/>
    <x v="4"/>
    <x v="3"/>
    <x v="1"/>
  </r>
  <r>
    <s v="ORD00231"/>
    <s v="2025-08-30"/>
    <s v="CHOC0026"/>
    <s v="Almond Elegance"/>
    <x v="1"/>
    <n v="14.52"/>
    <n v="1922"/>
    <n v="27907.439999999999"/>
    <n v="1395.37"/>
    <n v="26512.07"/>
    <x v="4"/>
    <x v="2"/>
    <x v="2"/>
  </r>
  <r>
    <s v="ORD00232"/>
    <s v="2025-11-30"/>
    <s v="CHOC0052"/>
    <s v="Minty Magic"/>
    <x v="5"/>
    <n v="5.35"/>
    <n v="141"/>
    <n v="754.35"/>
    <n v="0"/>
    <n v="754.35"/>
    <x v="1"/>
    <x v="1"/>
    <x v="0"/>
  </r>
  <r>
    <s v="ORD00233"/>
    <s v="2025-01-20"/>
    <s v="CHOC0045"/>
    <s v="Royal Fudge"/>
    <x v="3"/>
    <n v="14.11"/>
    <n v="94"/>
    <n v="1326.34"/>
    <n v="198.95"/>
    <n v="1127.3900000000001"/>
    <x v="4"/>
    <x v="1"/>
    <x v="1"/>
  </r>
  <r>
    <s v="ORD00234"/>
    <s v="2025-05-29"/>
    <s v="CHOC0010"/>
    <s v="Dark Delight"/>
    <x v="5"/>
    <n v="9.17"/>
    <n v="239"/>
    <n v="2191.63"/>
    <n v="219.16"/>
    <n v="1972.47"/>
    <x v="2"/>
    <x v="2"/>
    <x v="1"/>
  </r>
  <r>
    <s v="ORD00235"/>
    <s v="2025-10-06"/>
    <s v="CHOC0135"/>
    <s v="Crispy Wafer"/>
    <x v="3"/>
    <n v="12.99"/>
    <n v="978"/>
    <n v="12704.22"/>
    <n v="1270.42"/>
    <n v="11433.8"/>
    <x v="3"/>
    <x v="0"/>
    <x v="3"/>
  </r>
  <r>
    <s v="ORD00236"/>
    <s v="2025-03-25"/>
    <s v="CHOC0188"/>
    <s v="Choco Fusion"/>
    <x v="0"/>
    <n v="4.97"/>
    <n v="401"/>
    <n v="1992.97"/>
    <n v="0"/>
    <n v="1992.97"/>
    <x v="2"/>
    <x v="3"/>
    <x v="0"/>
  </r>
  <r>
    <s v="ORD00237"/>
    <s v="2025-12-12"/>
    <s v="CHOC0194"/>
    <s v="Velvet Truffle"/>
    <x v="3"/>
    <n v="9.75"/>
    <n v="1328"/>
    <n v="12948"/>
    <n v="1942.2"/>
    <n v="11005.8"/>
    <x v="4"/>
    <x v="3"/>
    <x v="5"/>
  </r>
  <r>
    <s v="ORD00238"/>
    <s v="2025-07-25"/>
    <s v="CHOC0172"/>
    <s v="Caramel Crunch"/>
    <x v="3"/>
    <n v="14.75"/>
    <n v="997"/>
    <n v="14705.75"/>
    <n v="1470.58"/>
    <n v="13235.17"/>
    <x v="3"/>
    <x v="0"/>
    <x v="3"/>
  </r>
  <r>
    <s v="ORD00239"/>
    <s v="2025-07-16"/>
    <s v="CHOC0061"/>
    <s v="Choco Fusion"/>
    <x v="5"/>
    <n v="14.38"/>
    <n v="638"/>
    <n v="9174.44"/>
    <n v="0"/>
    <n v="9174.44"/>
    <x v="2"/>
    <x v="3"/>
    <x v="1"/>
  </r>
  <r>
    <s v="ORD00240"/>
    <s v="2025-05-01"/>
    <s v="CHOC0016"/>
    <s v="Caramel Crunch"/>
    <x v="2"/>
    <n v="5.64"/>
    <n v="850"/>
    <n v="4794"/>
    <n v="479.4"/>
    <n v="4314.6000000000004"/>
    <x v="0"/>
    <x v="3"/>
    <x v="3"/>
  </r>
  <r>
    <s v="ORD00241"/>
    <s v="2025-11-11"/>
    <s v="CHOC0057"/>
    <s v="Choco Supreme"/>
    <x v="3"/>
    <n v="7.96"/>
    <n v="951"/>
    <n v="7569.96"/>
    <n v="757"/>
    <n v="6812.96"/>
    <x v="4"/>
    <x v="2"/>
    <x v="0"/>
  </r>
  <r>
    <s v="ORD00242"/>
    <s v="2025-12-07"/>
    <s v="CHOC0056"/>
    <s v="Choco Supreme"/>
    <x v="0"/>
    <n v="11.69"/>
    <n v="1808"/>
    <n v="21135.52"/>
    <n v="0"/>
    <n v="21135.52"/>
    <x v="1"/>
    <x v="2"/>
    <x v="0"/>
  </r>
  <r>
    <s v="ORD00243"/>
    <s v="2025-12-27"/>
    <s v="CHOC0093"/>
    <s v="Hazelnut Heaven"/>
    <x v="4"/>
    <n v="3.01"/>
    <n v="1717"/>
    <n v="5168.17"/>
    <n v="258.41000000000003"/>
    <n v="4909.76"/>
    <x v="1"/>
    <x v="1"/>
    <x v="4"/>
  </r>
  <r>
    <s v="ORD00244"/>
    <s v="2025-06-17"/>
    <s v="CHOC0134"/>
    <s v="Choco Fusion"/>
    <x v="1"/>
    <n v="10.68"/>
    <n v="1488"/>
    <n v="15891.84"/>
    <n v="2383.7800000000002"/>
    <n v="13508.06"/>
    <x v="0"/>
    <x v="2"/>
    <x v="5"/>
  </r>
  <r>
    <s v="ORD00245"/>
    <s v="2025-08-21"/>
    <s v="CHOC0034"/>
    <s v="Mocha Dream"/>
    <x v="2"/>
    <n v="7.67"/>
    <n v="138"/>
    <n v="1058.46"/>
    <n v="158.77000000000001"/>
    <n v="899.69"/>
    <x v="2"/>
    <x v="0"/>
    <x v="2"/>
  </r>
  <r>
    <s v="ORD00246"/>
    <s v="2025-05-11"/>
    <s v="CHOC0001"/>
    <s v="Velvet Truffle"/>
    <x v="4"/>
    <n v="2.4900000000000002"/>
    <n v="887"/>
    <n v="2208.63"/>
    <n v="220.86"/>
    <n v="1987.77"/>
    <x v="0"/>
    <x v="0"/>
    <x v="5"/>
  </r>
  <r>
    <s v="ORD00247"/>
    <s v="2025-08-30"/>
    <s v="CHOC0009"/>
    <s v="Minty Magic"/>
    <x v="2"/>
    <n v="3.93"/>
    <n v="297"/>
    <n v="1167.21"/>
    <n v="175.08"/>
    <n v="992.13"/>
    <x v="2"/>
    <x v="2"/>
    <x v="2"/>
  </r>
  <r>
    <s v="ORD00248"/>
    <s v="2025-07-13"/>
    <s v="CHOC0097"/>
    <s v="Hazelnut Heaven"/>
    <x v="0"/>
    <n v="14.52"/>
    <n v="1811"/>
    <n v="26295.72"/>
    <n v="1314.79"/>
    <n v="24980.93"/>
    <x v="2"/>
    <x v="0"/>
    <x v="4"/>
  </r>
  <r>
    <s v="ORD00249"/>
    <s v="2025-10-03"/>
    <s v="CHOC0101"/>
    <s v="Mocha Dream"/>
    <x v="3"/>
    <n v="11.33"/>
    <n v="476"/>
    <n v="5393.08"/>
    <n v="0"/>
    <n v="5393.08"/>
    <x v="0"/>
    <x v="3"/>
    <x v="2"/>
  </r>
  <r>
    <s v="ORD00250"/>
    <s v="2025-12-11"/>
    <s v="CHOC0185"/>
    <s v="White Pearl"/>
    <x v="2"/>
    <n v="8.68"/>
    <n v="1706"/>
    <n v="14808.08"/>
    <n v="740.4"/>
    <n v="14067.68"/>
    <x v="3"/>
    <x v="2"/>
    <x v="3"/>
  </r>
  <r>
    <s v="ORD00251"/>
    <s v="2025-03-21"/>
    <s v="CHOC0071"/>
    <s v="Velvet Truffle"/>
    <x v="0"/>
    <n v="11.83"/>
    <n v="85"/>
    <n v="1005.55"/>
    <n v="150.83000000000001"/>
    <n v="854.72"/>
    <x v="1"/>
    <x v="0"/>
    <x v="4"/>
  </r>
  <r>
    <s v="ORD00252"/>
    <s v="2025-04-16"/>
    <s v="CHOC0018"/>
    <s v="Caramel Crunch"/>
    <x v="4"/>
    <n v="1.95"/>
    <n v="1244"/>
    <n v="2425.8000000000002"/>
    <n v="0"/>
    <n v="2425.8000000000002"/>
    <x v="3"/>
    <x v="0"/>
    <x v="2"/>
  </r>
  <r>
    <s v="ORD00253"/>
    <s v="2025-08-13"/>
    <s v="CHOC0060"/>
    <s v="White Pearl"/>
    <x v="3"/>
    <n v="11.68"/>
    <n v="1609"/>
    <n v="18793.12"/>
    <n v="0"/>
    <n v="18793.12"/>
    <x v="3"/>
    <x v="3"/>
    <x v="4"/>
  </r>
  <r>
    <s v="ORD00254"/>
    <s v="2025-10-22"/>
    <s v="CHOC0082"/>
    <s v="Lava Bite"/>
    <x v="4"/>
    <n v="11.93"/>
    <n v="1696"/>
    <n v="20233.28"/>
    <n v="2023.33"/>
    <n v="18209.95"/>
    <x v="3"/>
    <x v="3"/>
    <x v="4"/>
  </r>
  <r>
    <s v="ORD00255"/>
    <s v="2025-12-05"/>
    <s v="CHOC0134"/>
    <s v="Choco Supreme"/>
    <x v="2"/>
    <n v="5.56"/>
    <n v="144"/>
    <n v="800.64"/>
    <n v="40.03"/>
    <n v="760.61"/>
    <x v="4"/>
    <x v="2"/>
    <x v="5"/>
  </r>
  <r>
    <s v="ORD00256"/>
    <s v="2025-06-26"/>
    <s v="CHOC0165"/>
    <s v="Classic Cocoa"/>
    <x v="4"/>
    <n v="5.8"/>
    <n v="872"/>
    <n v="5057.6000000000004"/>
    <n v="758.64"/>
    <n v="4298.96"/>
    <x v="3"/>
    <x v="3"/>
    <x v="2"/>
  </r>
  <r>
    <s v="ORD00257"/>
    <s v="2025-04-05"/>
    <s v="CHOC0194"/>
    <s v="White Pearl"/>
    <x v="2"/>
    <n v="4.75"/>
    <n v="481"/>
    <n v="2284.75"/>
    <n v="228.48"/>
    <n v="2056.27"/>
    <x v="3"/>
    <x v="2"/>
    <x v="5"/>
  </r>
  <r>
    <s v="ORD00258"/>
    <s v="2025-10-15"/>
    <s v="CHOC0106"/>
    <s v="Royal Fudge"/>
    <x v="4"/>
    <n v="8.65"/>
    <n v="815"/>
    <n v="7049.75"/>
    <n v="352.49"/>
    <n v="6697.26"/>
    <x v="2"/>
    <x v="1"/>
    <x v="3"/>
  </r>
  <r>
    <s v="ORD00259"/>
    <s v="2025-11-28"/>
    <s v="CHOC0021"/>
    <s v="Choco Fusion"/>
    <x v="5"/>
    <n v="2.75"/>
    <n v="1503"/>
    <n v="4133.25"/>
    <n v="206.66"/>
    <n v="3926.59"/>
    <x v="0"/>
    <x v="3"/>
    <x v="2"/>
  </r>
  <r>
    <s v="ORD00260"/>
    <s v="2025-12-11"/>
    <s v="CHOC0155"/>
    <s v="Choco Luxe"/>
    <x v="1"/>
    <n v="13.29"/>
    <n v="405"/>
    <n v="5382.45"/>
    <n v="269.12"/>
    <n v="5113.33"/>
    <x v="4"/>
    <x v="1"/>
    <x v="3"/>
  </r>
  <r>
    <s v="ORD00261"/>
    <s v="2025-06-05"/>
    <s v="CHOC0004"/>
    <s v="Velvet Truffle"/>
    <x v="3"/>
    <n v="14.49"/>
    <n v="260"/>
    <n v="3767.4"/>
    <n v="565.11"/>
    <n v="3202.29"/>
    <x v="3"/>
    <x v="1"/>
    <x v="2"/>
  </r>
  <r>
    <s v="ORD00262"/>
    <s v="2025-05-03"/>
    <s v="CHOC0142"/>
    <s v="Golden Nougat"/>
    <x v="5"/>
    <n v="6.64"/>
    <n v="1112"/>
    <n v="7383.68"/>
    <n v="738.37"/>
    <n v="6645.31"/>
    <x v="2"/>
    <x v="3"/>
    <x v="3"/>
  </r>
  <r>
    <s v="ORD00263"/>
    <s v="2025-09-20"/>
    <s v="CHOC0128"/>
    <s v="Choco Fusion"/>
    <x v="1"/>
    <n v="12.34"/>
    <n v="1499"/>
    <n v="18497.66"/>
    <n v="2774.65"/>
    <n v="15723.01"/>
    <x v="2"/>
    <x v="1"/>
    <x v="3"/>
  </r>
  <r>
    <s v="ORD00264"/>
    <s v="2025-06-10"/>
    <s v="CHOC0106"/>
    <s v="Milk Bliss"/>
    <x v="4"/>
    <n v="13.17"/>
    <n v="1538"/>
    <n v="20255.46"/>
    <n v="1012.77"/>
    <n v="19242.689999999999"/>
    <x v="0"/>
    <x v="3"/>
    <x v="0"/>
  </r>
  <r>
    <s v="ORD00265"/>
    <s v="2025-10-27"/>
    <s v="CHOC0149"/>
    <s v="Royal Fudge"/>
    <x v="5"/>
    <n v="3.56"/>
    <n v="695"/>
    <n v="2474.1999999999998"/>
    <n v="123.71"/>
    <n v="2350.4899999999998"/>
    <x v="4"/>
    <x v="1"/>
    <x v="2"/>
  </r>
  <r>
    <s v="ORD00266"/>
    <s v="2025-10-09"/>
    <s v="CHOC0168"/>
    <s v="Golden Nougat"/>
    <x v="5"/>
    <n v="11.81"/>
    <n v="1020"/>
    <n v="12046.2"/>
    <n v="1806.93"/>
    <n v="10239.27"/>
    <x v="4"/>
    <x v="1"/>
    <x v="1"/>
  </r>
  <r>
    <s v="ORD00267"/>
    <s v="2025-06-30"/>
    <s v="CHOC0044"/>
    <s v="Almond Elegance"/>
    <x v="0"/>
    <n v="8.8800000000000008"/>
    <n v="396"/>
    <n v="3516.48"/>
    <n v="0"/>
    <n v="3516.48"/>
    <x v="1"/>
    <x v="0"/>
    <x v="5"/>
  </r>
  <r>
    <s v="ORD00268"/>
    <s v="2025-12-09"/>
    <s v="CHOC0013"/>
    <s v="Dark Delight"/>
    <x v="2"/>
    <n v="3.36"/>
    <n v="1311"/>
    <n v="4404.96"/>
    <n v="220.25"/>
    <n v="4184.71"/>
    <x v="0"/>
    <x v="1"/>
    <x v="5"/>
  </r>
  <r>
    <s v="ORD00269"/>
    <s v="2025-04-22"/>
    <s v="CHOC0130"/>
    <s v="Choco Fusion"/>
    <x v="5"/>
    <n v="2.3199999999999998"/>
    <n v="1326"/>
    <n v="3076.32"/>
    <n v="461.45"/>
    <n v="2614.87"/>
    <x v="4"/>
    <x v="0"/>
    <x v="5"/>
  </r>
  <r>
    <s v="ORD00270"/>
    <s v="2025-09-30"/>
    <s v="CHOC0142"/>
    <s v="Royal Fudge"/>
    <x v="1"/>
    <n v="1.73"/>
    <n v="1499"/>
    <n v="2593.27"/>
    <n v="259.33"/>
    <n v="2333.94"/>
    <x v="1"/>
    <x v="3"/>
    <x v="5"/>
  </r>
  <r>
    <s v="ORD00271"/>
    <s v="2025-09-15"/>
    <s v="CHOC0179"/>
    <s v="Royal Fudge"/>
    <x v="3"/>
    <n v="2.94"/>
    <n v="217"/>
    <n v="637.98"/>
    <n v="31.9"/>
    <n v="606.08000000000004"/>
    <x v="3"/>
    <x v="1"/>
    <x v="0"/>
  </r>
  <r>
    <s v="ORD00272"/>
    <s v="2025-09-27"/>
    <s v="CHOC0065"/>
    <s v="Silk Sensation"/>
    <x v="5"/>
    <n v="12.23"/>
    <n v="181"/>
    <n v="2213.63"/>
    <n v="221.36"/>
    <n v="1992.27"/>
    <x v="4"/>
    <x v="2"/>
    <x v="0"/>
  </r>
  <r>
    <s v="ORD00273"/>
    <s v="2025-05-05"/>
    <s v="CHOC0179"/>
    <s v="Choco Supreme"/>
    <x v="5"/>
    <n v="10.73"/>
    <n v="1756"/>
    <n v="18841.88"/>
    <n v="0"/>
    <n v="18841.88"/>
    <x v="0"/>
    <x v="0"/>
    <x v="2"/>
  </r>
  <r>
    <s v="ORD00274"/>
    <s v="2025-07-14"/>
    <s v="CHOC0097"/>
    <s v="White Pearl"/>
    <x v="2"/>
    <n v="2.2599999999999998"/>
    <n v="39"/>
    <n v="88.14"/>
    <n v="4.41"/>
    <n v="83.73"/>
    <x v="0"/>
    <x v="2"/>
    <x v="2"/>
  </r>
  <r>
    <s v="ORD00275"/>
    <s v="2025-11-27"/>
    <s v="CHOC0085"/>
    <s v="Lava Bite"/>
    <x v="1"/>
    <n v="13.58"/>
    <n v="1902"/>
    <n v="25829.16"/>
    <n v="0"/>
    <n v="25829.16"/>
    <x v="3"/>
    <x v="1"/>
    <x v="1"/>
  </r>
  <r>
    <s v="ORD00276"/>
    <s v="2025-10-18"/>
    <s v="CHOC0122"/>
    <s v="Berry Infusion"/>
    <x v="1"/>
    <n v="13.98"/>
    <n v="1421"/>
    <n v="19865.580000000002"/>
    <n v="1986.56"/>
    <n v="17879.02"/>
    <x v="1"/>
    <x v="0"/>
    <x v="4"/>
  </r>
  <r>
    <s v="ORD00277"/>
    <s v="2025-06-11"/>
    <s v="CHOC0005"/>
    <s v="Velvet Truffle"/>
    <x v="4"/>
    <n v="3.45"/>
    <n v="1700"/>
    <n v="5865"/>
    <n v="879.75"/>
    <n v="4985.25"/>
    <x v="0"/>
    <x v="3"/>
    <x v="4"/>
  </r>
  <r>
    <s v="ORD00278"/>
    <s v="2025-10-16"/>
    <s v="CHOC0062"/>
    <s v="Lava Bite"/>
    <x v="2"/>
    <n v="10.64"/>
    <n v="1127"/>
    <n v="11991.28"/>
    <n v="1199.1300000000001"/>
    <n v="10792.15"/>
    <x v="4"/>
    <x v="1"/>
    <x v="1"/>
  </r>
  <r>
    <s v="ORD00279"/>
    <s v="2025-02-10"/>
    <s v="CHOC0129"/>
    <s v="Silk Sensation"/>
    <x v="1"/>
    <n v="2.82"/>
    <n v="495"/>
    <n v="1395.9"/>
    <n v="0"/>
    <n v="1395.9"/>
    <x v="2"/>
    <x v="2"/>
    <x v="3"/>
  </r>
  <r>
    <s v="ORD00280"/>
    <s v="2025-01-16"/>
    <s v="CHOC0163"/>
    <s v="Berry Infusion"/>
    <x v="2"/>
    <n v="8.1199999999999992"/>
    <n v="748"/>
    <n v="6073.76"/>
    <n v="911.06"/>
    <n v="5162.7"/>
    <x v="4"/>
    <x v="1"/>
    <x v="1"/>
  </r>
  <r>
    <s v="ORD00281"/>
    <s v="2025-10-27"/>
    <s v="CHOC0170"/>
    <s v="Classic Cocoa"/>
    <x v="1"/>
    <n v="11.92"/>
    <n v="624"/>
    <n v="7438.08"/>
    <n v="371.9"/>
    <n v="7066.18"/>
    <x v="0"/>
    <x v="0"/>
    <x v="3"/>
  </r>
  <r>
    <s v="ORD00282"/>
    <s v="2025-03-20"/>
    <s v="CHOC0098"/>
    <s v="Almond Elegance"/>
    <x v="0"/>
    <n v="6.76"/>
    <n v="758"/>
    <n v="5124.08"/>
    <n v="0"/>
    <n v="5124.08"/>
    <x v="0"/>
    <x v="0"/>
    <x v="3"/>
  </r>
  <r>
    <s v="ORD00283"/>
    <s v="2025-08-16"/>
    <s v="CHOC0093"/>
    <s v="Berry Infusion"/>
    <x v="1"/>
    <n v="3.29"/>
    <n v="403"/>
    <n v="1325.87"/>
    <n v="198.88"/>
    <n v="1126.99"/>
    <x v="4"/>
    <x v="2"/>
    <x v="5"/>
  </r>
  <r>
    <s v="ORD00284"/>
    <s v="2025-01-14"/>
    <s v="CHOC0023"/>
    <s v="Silk Sensation"/>
    <x v="4"/>
    <n v="2.76"/>
    <n v="1244"/>
    <n v="3433.44"/>
    <n v="343.34"/>
    <n v="3090.1"/>
    <x v="4"/>
    <x v="0"/>
    <x v="3"/>
  </r>
  <r>
    <s v="ORD00285"/>
    <s v="2025-07-31"/>
    <s v="CHOC0100"/>
    <s v="Hazelnut Heaven"/>
    <x v="0"/>
    <n v="13.67"/>
    <n v="1873"/>
    <n v="25603.91"/>
    <n v="1280.2"/>
    <n v="24323.71"/>
    <x v="1"/>
    <x v="1"/>
    <x v="1"/>
  </r>
  <r>
    <s v="ORD00286"/>
    <s v="2025-07-14"/>
    <s v="CHOC0044"/>
    <s v="Almond Elegance"/>
    <x v="5"/>
    <n v="5.57"/>
    <n v="1029"/>
    <n v="5731.53"/>
    <n v="286.58"/>
    <n v="5444.95"/>
    <x v="0"/>
    <x v="1"/>
    <x v="2"/>
  </r>
  <r>
    <s v="ORD00287"/>
    <s v="2025-05-22"/>
    <s v="CHOC0108"/>
    <s v="Minty Magic"/>
    <x v="2"/>
    <n v="12.07"/>
    <n v="759"/>
    <n v="9161.1299999999992"/>
    <n v="916.11"/>
    <n v="8245.02"/>
    <x v="3"/>
    <x v="2"/>
    <x v="0"/>
  </r>
  <r>
    <s v="ORD00288"/>
    <s v="2025-11-12"/>
    <s v="CHOC0051"/>
    <s v="Choco Fusion"/>
    <x v="1"/>
    <n v="3.33"/>
    <n v="33"/>
    <n v="109.89"/>
    <n v="16.48"/>
    <n v="93.41"/>
    <x v="2"/>
    <x v="2"/>
    <x v="3"/>
  </r>
  <r>
    <s v="ORD00289"/>
    <s v="2025-08-14"/>
    <s v="CHOC0086"/>
    <s v="Royal Fudge"/>
    <x v="0"/>
    <n v="14.65"/>
    <n v="298"/>
    <n v="4365.7"/>
    <n v="436.57"/>
    <n v="3929.13"/>
    <x v="2"/>
    <x v="1"/>
    <x v="2"/>
  </r>
  <r>
    <s v="ORD00290"/>
    <s v="2025-06-10"/>
    <s v="CHOC0046"/>
    <s v="Classic Cocoa"/>
    <x v="5"/>
    <n v="5.43"/>
    <n v="1443"/>
    <n v="7835.49"/>
    <n v="1175.32"/>
    <n v="6660.17"/>
    <x v="1"/>
    <x v="1"/>
    <x v="3"/>
  </r>
  <r>
    <s v="ORD00291"/>
    <s v="2025-07-12"/>
    <s v="CHOC0072"/>
    <s v="Classic Cocoa"/>
    <x v="5"/>
    <n v="3.04"/>
    <n v="1174"/>
    <n v="3568.96"/>
    <n v="178.45"/>
    <n v="3390.51"/>
    <x v="1"/>
    <x v="1"/>
    <x v="1"/>
  </r>
  <r>
    <s v="ORD00292"/>
    <s v="2025-10-09"/>
    <s v="CHOC0007"/>
    <s v="Choco Fusion"/>
    <x v="0"/>
    <n v="4.33"/>
    <n v="1653"/>
    <n v="7157.49"/>
    <n v="715.75"/>
    <n v="6441.74"/>
    <x v="0"/>
    <x v="2"/>
    <x v="1"/>
  </r>
  <r>
    <s v="ORD00293"/>
    <s v="2025-09-13"/>
    <s v="CHOC0036"/>
    <s v="Minty Magic"/>
    <x v="3"/>
    <n v="4.91"/>
    <n v="335"/>
    <n v="1644.85"/>
    <n v="246.73"/>
    <n v="1398.12"/>
    <x v="4"/>
    <x v="0"/>
    <x v="2"/>
  </r>
  <r>
    <s v="ORD00294"/>
    <s v="2025-11-03"/>
    <s v="CHOC0123"/>
    <s v="Lava Bite"/>
    <x v="2"/>
    <n v="8.7100000000000009"/>
    <n v="1911"/>
    <n v="16644.810000000001"/>
    <n v="2496.7199999999998"/>
    <n v="14148.09"/>
    <x v="1"/>
    <x v="0"/>
    <x v="3"/>
  </r>
  <r>
    <s v="ORD00295"/>
    <s v="2025-12-26"/>
    <s v="CHOC0138"/>
    <s v="Choco Luxe"/>
    <x v="0"/>
    <n v="13.84"/>
    <n v="243"/>
    <n v="3363.12"/>
    <n v="168.16"/>
    <n v="3194.96"/>
    <x v="2"/>
    <x v="1"/>
    <x v="1"/>
  </r>
  <r>
    <s v="ORD00296"/>
    <s v="2025-11-10"/>
    <s v="CHOC0012"/>
    <s v="Lava Bite"/>
    <x v="0"/>
    <n v="10.65"/>
    <n v="838"/>
    <n v="8924.7000000000007"/>
    <n v="892.47"/>
    <n v="8032.23"/>
    <x v="4"/>
    <x v="0"/>
    <x v="5"/>
  </r>
  <r>
    <s v="ORD00297"/>
    <s v="2025-02-20"/>
    <s v="CHOC0067"/>
    <s v="Choco Supreme"/>
    <x v="4"/>
    <n v="11.58"/>
    <n v="1162"/>
    <n v="13455.96"/>
    <n v="672.8"/>
    <n v="12783.16"/>
    <x v="4"/>
    <x v="3"/>
    <x v="2"/>
  </r>
  <r>
    <s v="ORD00298"/>
    <s v="2025-08-26"/>
    <s v="CHOC0198"/>
    <s v="Lava Bite"/>
    <x v="0"/>
    <n v="8.26"/>
    <n v="726"/>
    <n v="5996.76"/>
    <n v="0"/>
    <n v="5996.76"/>
    <x v="4"/>
    <x v="0"/>
    <x v="3"/>
  </r>
  <r>
    <s v="ORD00299"/>
    <s v="2025-08-01"/>
    <s v="CHOC0022"/>
    <s v="Caramel Crunch"/>
    <x v="0"/>
    <n v="3.41"/>
    <n v="658"/>
    <n v="2243.7800000000002"/>
    <n v="224.38"/>
    <n v="2019.4"/>
    <x v="4"/>
    <x v="1"/>
    <x v="0"/>
  </r>
  <r>
    <s v="ORD00300"/>
    <s v="2025-09-05"/>
    <s v="CHOC0090"/>
    <s v="Crispy Wafer"/>
    <x v="1"/>
    <n v="7.42"/>
    <n v="1446"/>
    <n v="10729.32"/>
    <n v="1609.4"/>
    <n v="9119.92"/>
    <x v="2"/>
    <x v="0"/>
    <x v="3"/>
  </r>
  <r>
    <s v="ORD00301"/>
    <s v="2025-01-23"/>
    <s v="CHOC0182"/>
    <s v="Caramel Crunch"/>
    <x v="1"/>
    <n v="12.96"/>
    <n v="1347"/>
    <n v="17457.12"/>
    <n v="0"/>
    <n v="17457.12"/>
    <x v="3"/>
    <x v="1"/>
    <x v="0"/>
  </r>
  <r>
    <s v="ORD00302"/>
    <s v="2025-03-31"/>
    <s v="CHOC0142"/>
    <s v="Cocoa Royale"/>
    <x v="5"/>
    <n v="9.06"/>
    <n v="1982"/>
    <n v="17956.919999999998"/>
    <n v="2693.54"/>
    <n v="15263.38"/>
    <x v="3"/>
    <x v="2"/>
    <x v="1"/>
  </r>
  <r>
    <s v="ORD00303"/>
    <s v="2025-04-05"/>
    <s v="CHOC0048"/>
    <s v="Royal Fudge"/>
    <x v="2"/>
    <n v="1.89"/>
    <n v="1277"/>
    <n v="2413.5300000000002"/>
    <n v="120.68"/>
    <n v="2292.85"/>
    <x v="4"/>
    <x v="2"/>
    <x v="2"/>
  </r>
  <r>
    <s v="ORD00304"/>
    <s v="2025-01-03"/>
    <s v="CHOC0181"/>
    <s v="Velvet Truffle"/>
    <x v="3"/>
    <n v="5.26"/>
    <n v="1461"/>
    <n v="7684.86"/>
    <n v="0"/>
    <n v="7684.86"/>
    <x v="1"/>
    <x v="0"/>
    <x v="0"/>
  </r>
  <r>
    <s v="ORD00305"/>
    <s v="2025-04-06"/>
    <s v="CHOC0094"/>
    <s v="Golden Nougat"/>
    <x v="3"/>
    <n v="7.68"/>
    <n v="557"/>
    <n v="4277.76"/>
    <n v="641.66"/>
    <n v="3636.1"/>
    <x v="1"/>
    <x v="3"/>
    <x v="0"/>
  </r>
  <r>
    <s v="ORD00306"/>
    <s v="2025-07-18"/>
    <s v="CHOC0157"/>
    <s v="Classic Cocoa"/>
    <x v="4"/>
    <n v="3.04"/>
    <n v="740"/>
    <n v="2249.6"/>
    <n v="337.44"/>
    <n v="1912.16"/>
    <x v="1"/>
    <x v="1"/>
    <x v="1"/>
  </r>
  <r>
    <s v="ORD00307"/>
    <s v="2025-12-28"/>
    <s v="CHOC0077"/>
    <s v="Choco Luxe"/>
    <x v="4"/>
    <n v="2.64"/>
    <n v="294"/>
    <n v="776.16"/>
    <n v="77.62"/>
    <n v="698.54"/>
    <x v="0"/>
    <x v="1"/>
    <x v="3"/>
  </r>
  <r>
    <s v="ORD00308"/>
    <s v="2025-03-01"/>
    <s v="CHOC0047"/>
    <s v="Silk Sensation"/>
    <x v="0"/>
    <n v="3.41"/>
    <n v="815"/>
    <n v="2779.15"/>
    <n v="416.87"/>
    <n v="2362.2800000000002"/>
    <x v="1"/>
    <x v="1"/>
    <x v="0"/>
  </r>
  <r>
    <s v="ORD00309"/>
    <s v="2025-07-16"/>
    <s v="CHOC0109"/>
    <s v="Cocoa Royale"/>
    <x v="2"/>
    <n v="10.08"/>
    <n v="1440"/>
    <n v="14515.2"/>
    <n v="725.76"/>
    <n v="13789.44"/>
    <x v="1"/>
    <x v="1"/>
    <x v="2"/>
  </r>
  <r>
    <s v="ORD00310"/>
    <s v="2025-05-28"/>
    <s v="CHOC0036"/>
    <s v="Cocoa Royale"/>
    <x v="5"/>
    <n v="12.87"/>
    <n v="1288"/>
    <n v="16576.560000000001"/>
    <n v="0"/>
    <n v="16576.560000000001"/>
    <x v="2"/>
    <x v="0"/>
    <x v="2"/>
  </r>
  <r>
    <s v="ORD00311"/>
    <s v="2025-03-11"/>
    <s v="CHOC0050"/>
    <s v="Classic Cocoa"/>
    <x v="4"/>
    <n v="8.32"/>
    <n v="1033"/>
    <n v="8594.56"/>
    <n v="1289.18"/>
    <n v="7305.38"/>
    <x v="4"/>
    <x v="2"/>
    <x v="1"/>
  </r>
  <r>
    <s v="ORD00312"/>
    <s v="2025-08-16"/>
    <s v="CHOC0126"/>
    <s v="Cocoa Royale"/>
    <x v="1"/>
    <n v="9.1300000000000008"/>
    <n v="1649"/>
    <n v="15055.37"/>
    <n v="752.77"/>
    <n v="14302.6"/>
    <x v="2"/>
    <x v="0"/>
    <x v="3"/>
  </r>
  <r>
    <s v="ORD00313"/>
    <s v="2025-04-26"/>
    <s v="CHOC0138"/>
    <s v="Minty Magic"/>
    <x v="3"/>
    <n v="12.04"/>
    <n v="1178"/>
    <n v="14183.12"/>
    <n v="2127.4699999999998"/>
    <n v="12055.65"/>
    <x v="1"/>
    <x v="0"/>
    <x v="0"/>
  </r>
  <r>
    <s v="ORD00314"/>
    <s v="2025-02-28"/>
    <s v="CHOC0069"/>
    <s v="White Pearl"/>
    <x v="5"/>
    <n v="8.82"/>
    <n v="1569"/>
    <n v="13838.58"/>
    <n v="0"/>
    <n v="13838.58"/>
    <x v="4"/>
    <x v="1"/>
    <x v="2"/>
  </r>
  <r>
    <s v="ORD00315"/>
    <s v="2025-02-22"/>
    <s v="CHOC0189"/>
    <s v="Choco Supreme"/>
    <x v="5"/>
    <n v="13.31"/>
    <n v="86"/>
    <n v="1144.6600000000001"/>
    <n v="171.7"/>
    <n v="972.96"/>
    <x v="2"/>
    <x v="3"/>
    <x v="5"/>
  </r>
  <r>
    <s v="ORD00316"/>
    <s v="2025-08-13"/>
    <s v="CHOC0031"/>
    <s v="Choco Supreme"/>
    <x v="3"/>
    <n v="12.44"/>
    <n v="1224"/>
    <n v="15226.56"/>
    <n v="1522.66"/>
    <n v="13703.9"/>
    <x v="1"/>
    <x v="2"/>
    <x v="4"/>
  </r>
  <r>
    <s v="ORD00317"/>
    <s v="2025-11-12"/>
    <s v="CHOC0036"/>
    <s v="Velvet Truffle"/>
    <x v="3"/>
    <n v="12.37"/>
    <n v="1187"/>
    <n v="14683.19"/>
    <n v="1468.32"/>
    <n v="13214.87"/>
    <x v="1"/>
    <x v="3"/>
    <x v="0"/>
  </r>
  <r>
    <s v="ORD00318"/>
    <s v="2025-10-03"/>
    <s v="CHOC0044"/>
    <s v="Golden Nougat"/>
    <x v="0"/>
    <n v="5.45"/>
    <n v="1192"/>
    <n v="6496.4"/>
    <n v="649.64"/>
    <n v="5846.76"/>
    <x v="1"/>
    <x v="0"/>
    <x v="4"/>
  </r>
  <r>
    <s v="ORD00319"/>
    <s v="2025-07-30"/>
    <s v="CHOC0016"/>
    <s v="Berry Infusion"/>
    <x v="0"/>
    <n v="3.21"/>
    <n v="1793"/>
    <n v="5755.53"/>
    <n v="287.77999999999997"/>
    <n v="5467.75"/>
    <x v="3"/>
    <x v="1"/>
    <x v="1"/>
  </r>
  <r>
    <s v="ORD00320"/>
    <s v="2025-06-14"/>
    <s v="CHOC0064"/>
    <s v="Classic Cocoa"/>
    <x v="2"/>
    <n v="3.42"/>
    <n v="1315"/>
    <n v="4497.3"/>
    <n v="449.73"/>
    <n v="4047.57"/>
    <x v="4"/>
    <x v="2"/>
    <x v="2"/>
  </r>
  <r>
    <s v="ORD00321"/>
    <s v="2025-02-08"/>
    <s v="CHOC0163"/>
    <s v="Hazelnut Heaven"/>
    <x v="2"/>
    <n v="8.4600000000000009"/>
    <n v="589"/>
    <n v="4982.9399999999996"/>
    <n v="498.29"/>
    <n v="4484.6499999999996"/>
    <x v="4"/>
    <x v="2"/>
    <x v="3"/>
  </r>
  <r>
    <s v="ORD00322"/>
    <s v="2025-10-25"/>
    <s v="CHOC0001"/>
    <s v="Hazelnut Heaven"/>
    <x v="0"/>
    <n v="14.62"/>
    <n v="1320"/>
    <n v="19298.400000000001"/>
    <n v="1929.84"/>
    <n v="17368.560000000001"/>
    <x v="0"/>
    <x v="2"/>
    <x v="4"/>
  </r>
  <r>
    <s v="ORD00323"/>
    <s v="2025-08-08"/>
    <s v="CHOC0055"/>
    <s v="Crispy Wafer"/>
    <x v="5"/>
    <n v="5.86"/>
    <n v="600"/>
    <n v="3516"/>
    <n v="351.6"/>
    <n v="3164.4"/>
    <x v="1"/>
    <x v="1"/>
    <x v="0"/>
  </r>
  <r>
    <s v="ORD00324"/>
    <s v="2025-09-06"/>
    <s v="CHOC0088"/>
    <s v="Milk Bliss"/>
    <x v="1"/>
    <n v="2.84"/>
    <n v="1625"/>
    <n v="4615"/>
    <n v="692.25"/>
    <n v="3922.75"/>
    <x v="0"/>
    <x v="0"/>
    <x v="4"/>
  </r>
  <r>
    <s v="ORD00325"/>
    <s v="2025-08-14"/>
    <s v="CHOC0117"/>
    <s v="Dark Delight"/>
    <x v="2"/>
    <n v="4.2300000000000004"/>
    <n v="1430"/>
    <n v="6048.9"/>
    <n v="302.44"/>
    <n v="5746.46"/>
    <x v="2"/>
    <x v="1"/>
    <x v="3"/>
  </r>
  <r>
    <s v="ORD00326"/>
    <s v="2025-02-17"/>
    <s v="CHOC0168"/>
    <s v="Silk Sensation"/>
    <x v="5"/>
    <n v="2.61"/>
    <n v="1380"/>
    <n v="3601.8"/>
    <n v="180.09"/>
    <n v="3421.71"/>
    <x v="0"/>
    <x v="2"/>
    <x v="1"/>
  </r>
  <r>
    <s v="ORD00327"/>
    <s v="2025-06-06"/>
    <s v="CHOC0186"/>
    <s v="Choco Supreme"/>
    <x v="2"/>
    <n v="10.35"/>
    <n v="1461"/>
    <n v="15121.35"/>
    <n v="0"/>
    <n v="15121.35"/>
    <x v="0"/>
    <x v="1"/>
    <x v="2"/>
  </r>
  <r>
    <s v="ORD00328"/>
    <s v="2025-02-09"/>
    <s v="CHOC0034"/>
    <s v="Lava Bite"/>
    <x v="3"/>
    <n v="8.51"/>
    <n v="931"/>
    <n v="7922.81"/>
    <n v="0"/>
    <n v="7922.81"/>
    <x v="0"/>
    <x v="3"/>
    <x v="5"/>
  </r>
  <r>
    <s v="ORD00329"/>
    <s v="2025-08-05"/>
    <s v="CHOC0178"/>
    <s v="Almond Elegance"/>
    <x v="2"/>
    <n v="2.46"/>
    <n v="804"/>
    <n v="1977.84"/>
    <n v="0"/>
    <n v="1977.84"/>
    <x v="0"/>
    <x v="0"/>
    <x v="3"/>
  </r>
  <r>
    <s v="ORD00330"/>
    <s v="2025-07-08"/>
    <s v="CHOC0077"/>
    <s v="Almond Elegance"/>
    <x v="2"/>
    <n v="11.94"/>
    <n v="1562"/>
    <n v="18650.28"/>
    <n v="932.51"/>
    <n v="17717.77"/>
    <x v="3"/>
    <x v="0"/>
    <x v="0"/>
  </r>
  <r>
    <s v="ORD00331"/>
    <s v="2025-10-16"/>
    <s v="CHOC0003"/>
    <s v="Choco Luxe"/>
    <x v="0"/>
    <n v="3.72"/>
    <n v="739"/>
    <n v="2749.08"/>
    <n v="137.44999999999999"/>
    <n v="2611.63"/>
    <x v="3"/>
    <x v="2"/>
    <x v="0"/>
  </r>
  <r>
    <s v="ORD00332"/>
    <s v="2025-12-18"/>
    <s v="CHOC0114"/>
    <s v="Velvet Truffle"/>
    <x v="1"/>
    <n v="13.6"/>
    <n v="306"/>
    <n v="4161.6000000000004"/>
    <n v="0"/>
    <n v="4161.6000000000004"/>
    <x v="1"/>
    <x v="2"/>
    <x v="3"/>
  </r>
  <r>
    <s v="ORD00333"/>
    <s v="2025-08-08"/>
    <s v="CHOC0081"/>
    <s v="Almond Elegance"/>
    <x v="3"/>
    <n v="5.24"/>
    <n v="192"/>
    <n v="1006.08"/>
    <n v="50.3"/>
    <n v="955.78"/>
    <x v="1"/>
    <x v="3"/>
    <x v="1"/>
  </r>
  <r>
    <s v="ORD00334"/>
    <s v="2025-01-14"/>
    <s v="CHOC0169"/>
    <s v="Minty Magic"/>
    <x v="3"/>
    <n v="8.49"/>
    <n v="1063"/>
    <n v="9024.8700000000008"/>
    <n v="451.24"/>
    <n v="8573.6299999999992"/>
    <x v="4"/>
    <x v="3"/>
    <x v="1"/>
  </r>
  <r>
    <s v="ORD00335"/>
    <s v="2025-01-28"/>
    <s v="CHOC0062"/>
    <s v="Crispy Wafer"/>
    <x v="2"/>
    <n v="3.02"/>
    <n v="1043"/>
    <n v="3149.86"/>
    <n v="0"/>
    <n v="3149.86"/>
    <x v="1"/>
    <x v="0"/>
    <x v="3"/>
  </r>
  <r>
    <s v="ORD00336"/>
    <s v="2025-06-12"/>
    <s v="CHOC0034"/>
    <s v="Classic Cocoa"/>
    <x v="4"/>
    <n v="7.18"/>
    <n v="1138"/>
    <n v="8170.84"/>
    <n v="408.54"/>
    <n v="7762.3"/>
    <x v="4"/>
    <x v="0"/>
    <x v="5"/>
  </r>
  <r>
    <s v="ORD00337"/>
    <s v="2025-10-28"/>
    <s v="CHOC0018"/>
    <s v="Dark Delight"/>
    <x v="5"/>
    <n v="4.41"/>
    <n v="1909"/>
    <n v="8418.69"/>
    <n v="0"/>
    <n v="8418.69"/>
    <x v="4"/>
    <x v="3"/>
    <x v="1"/>
  </r>
  <r>
    <s v="ORD00338"/>
    <s v="2025-12-31"/>
    <s v="CHOC0129"/>
    <s v="Royal Fudge"/>
    <x v="2"/>
    <n v="10.97"/>
    <n v="188"/>
    <n v="2062.36"/>
    <n v="103.12"/>
    <n v="1959.24"/>
    <x v="2"/>
    <x v="0"/>
    <x v="3"/>
  </r>
  <r>
    <s v="ORD00339"/>
    <s v="2025-02-10"/>
    <s v="CHOC0131"/>
    <s v="Velvet Truffle"/>
    <x v="3"/>
    <n v="8.74"/>
    <n v="820"/>
    <n v="7166.8"/>
    <n v="0"/>
    <n v="7166.8"/>
    <x v="2"/>
    <x v="2"/>
    <x v="1"/>
  </r>
  <r>
    <s v="ORD00340"/>
    <s v="2025-05-03"/>
    <s v="CHOC0015"/>
    <s v="Choco Supreme"/>
    <x v="1"/>
    <n v="13.98"/>
    <n v="257"/>
    <n v="3592.86"/>
    <n v="538.92999999999995"/>
    <n v="3053.93"/>
    <x v="1"/>
    <x v="0"/>
    <x v="3"/>
  </r>
  <r>
    <s v="ORD00341"/>
    <s v="2025-12-08"/>
    <s v="CHOC0190"/>
    <s v="Cocoa Royale"/>
    <x v="1"/>
    <n v="1.67"/>
    <n v="301"/>
    <n v="502.67"/>
    <n v="0"/>
    <n v="502.67"/>
    <x v="3"/>
    <x v="2"/>
    <x v="3"/>
  </r>
  <r>
    <s v="ORD00342"/>
    <s v="2025-09-25"/>
    <s v="CHOC0133"/>
    <s v="Berry Infusion"/>
    <x v="3"/>
    <n v="6.52"/>
    <n v="1555"/>
    <n v="10138.6"/>
    <n v="1013.86"/>
    <n v="9124.74"/>
    <x v="0"/>
    <x v="0"/>
    <x v="3"/>
  </r>
  <r>
    <s v="ORD00343"/>
    <s v="2025-08-08"/>
    <s v="CHOC0070"/>
    <s v="Mocha Dream"/>
    <x v="1"/>
    <n v="5.05"/>
    <n v="1200"/>
    <n v="6060"/>
    <n v="0"/>
    <n v="6060"/>
    <x v="4"/>
    <x v="2"/>
    <x v="0"/>
  </r>
  <r>
    <s v="ORD00344"/>
    <s v="2025-07-04"/>
    <s v="CHOC0015"/>
    <s v="Crispy Wafer"/>
    <x v="4"/>
    <n v="3.75"/>
    <n v="342"/>
    <n v="1282.5"/>
    <n v="128.25"/>
    <n v="1154.25"/>
    <x v="0"/>
    <x v="0"/>
    <x v="4"/>
  </r>
  <r>
    <s v="ORD00345"/>
    <s v="2025-09-18"/>
    <s v="CHOC0001"/>
    <s v="Milk Bliss"/>
    <x v="1"/>
    <n v="4.8"/>
    <n v="986"/>
    <n v="4732.8"/>
    <n v="473.28"/>
    <n v="4259.5200000000004"/>
    <x v="4"/>
    <x v="1"/>
    <x v="4"/>
  </r>
  <r>
    <s v="ORD00346"/>
    <s v="2025-01-19"/>
    <s v="CHOC0142"/>
    <s v="Royal Fudge"/>
    <x v="3"/>
    <n v="5.84"/>
    <n v="872"/>
    <n v="5092.4799999999996"/>
    <n v="509.25"/>
    <n v="4583.2299999999996"/>
    <x v="2"/>
    <x v="0"/>
    <x v="0"/>
  </r>
  <r>
    <s v="ORD00347"/>
    <s v="2025-07-10"/>
    <s v="CHOC0031"/>
    <s v="Mocha Dream"/>
    <x v="0"/>
    <n v="13.68"/>
    <n v="387"/>
    <n v="5294.16"/>
    <n v="264.70999999999998"/>
    <n v="5029.45"/>
    <x v="1"/>
    <x v="0"/>
    <x v="2"/>
  </r>
  <r>
    <s v="ORD00348"/>
    <s v="2025-02-05"/>
    <s v="CHOC0120"/>
    <s v="Minty Magic"/>
    <x v="5"/>
    <n v="5.92"/>
    <n v="1152"/>
    <n v="6819.84"/>
    <n v="1022.98"/>
    <n v="5796.86"/>
    <x v="0"/>
    <x v="3"/>
    <x v="4"/>
  </r>
  <r>
    <s v="ORD00349"/>
    <s v="2025-05-30"/>
    <s v="CHOC0145"/>
    <s v="Minty Magic"/>
    <x v="0"/>
    <n v="9.91"/>
    <n v="970"/>
    <n v="9612.7000000000007"/>
    <n v="961.27"/>
    <n v="8651.43"/>
    <x v="1"/>
    <x v="2"/>
    <x v="4"/>
  </r>
  <r>
    <s v="ORD00350"/>
    <s v="2025-10-07"/>
    <s v="CHOC0195"/>
    <s v="Choco Supreme"/>
    <x v="3"/>
    <n v="1.59"/>
    <n v="859"/>
    <n v="1365.81"/>
    <n v="0"/>
    <n v="1365.81"/>
    <x v="3"/>
    <x v="3"/>
    <x v="1"/>
  </r>
  <r>
    <s v="ORD00351"/>
    <s v="2025-12-22"/>
    <s v="CHOC0003"/>
    <s v="Golden Nougat"/>
    <x v="1"/>
    <n v="11.75"/>
    <n v="790"/>
    <n v="9282.5"/>
    <n v="928.25"/>
    <n v="8354.25"/>
    <x v="0"/>
    <x v="1"/>
    <x v="0"/>
  </r>
  <r>
    <s v="ORD00352"/>
    <s v="2025-05-02"/>
    <s v="CHOC0108"/>
    <s v="Crispy Wafer"/>
    <x v="1"/>
    <n v="14.63"/>
    <n v="311"/>
    <n v="4549.93"/>
    <n v="454.99"/>
    <n v="4094.94"/>
    <x v="0"/>
    <x v="0"/>
    <x v="4"/>
  </r>
  <r>
    <s v="ORD00353"/>
    <s v="2025-09-24"/>
    <s v="CHOC0106"/>
    <s v="Silk Sensation"/>
    <x v="2"/>
    <n v="14.66"/>
    <n v="193"/>
    <n v="2829.38"/>
    <n v="0"/>
    <n v="2829.38"/>
    <x v="1"/>
    <x v="1"/>
    <x v="1"/>
  </r>
  <r>
    <s v="ORD00354"/>
    <s v="2025-07-21"/>
    <s v="CHOC0020"/>
    <s v="Lava Bite"/>
    <x v="4"/>
    <n v="2.34"/>
    <n v="1376"/>
    <n v="3219.84"/>
    <n v="160.99"/>
    <n v="3058.85"/>
    <x v="3"/>
    <x v="3"/>
    <x v="3"/>
  </r>
  <r>
    <s v="ORD00355"/>
    <s v="2025-06-11"/>
    <s v="CHOC0101"/>
    <s v="Golden Nougat"/>
    <x v="5"/>
    <n v="7.61"/>
    <n v="498"/>
    <n v="3789.78"/>
    <n v="0"/>
    <n v="3789.78"/>
    <x v="3"/>
    <x v="1"/>
    <x v="0"/>
  </r>
  <r>
    <s v="ORD00356"/>
    <s v="2025-02-25"/>
    <s v="CHOC0040"/>
    <s v="Caramel Crunch"/>
    <x v="3"/>
    <n v="7.57"/>
    <n v="663"/>
    <n v="5018.91"/>
    <n v="752.84"/>
    <n v="4266.07"/>
    <x v="0"/>
    <x v="3"/>
    <x v="4"/>
  </r>
  <r>
    <s v="ORD00357"/>
    <s v="2025-08-20"/>
    <s v="CHOC0079"/>
    <s v="Choco Fusion"/>
    <x v="5"/>
    <n v="13.01"/>
    <n v="205"/>
    <n v="2667.05"/>
    <n v="133.35"/>
    <n v="2533.6999999999998"/>
    <x v="2"/>
    <x v="0"/>
    <x v="4"/>
  </r>
  <r>
    <s v="ORD00358"/>
    <s v="2025-06-17"/>
    <s v="CHOC0038"/>
    <s v="Hazelnut Heaven"/>
    <x v="0"/>
    <n v="4.8499999999999996"/>
    <n v="748"/>
    <n v="3627.8"/>
    <n v="544.16999999999996"/>
    <n v="3083.63"/>
    <x v="1"/>
    <x v="0"/>
    <x v="1"/>
  </r>
  <r>
    <s v="ORD00359"/>
    <s v="2025-06-03"/>
    <s v="CHOC0067"/>
    <s v="Cocoa Royale"/>
    <x v="1"/>
    <n v="14.35"/>
    <n v="1770"/>
    <n v="25399.5"/>
    <n v="3809.92"/>
    <n v="21589.58"/>
    <x v="1"/>
    <x v="1"/>
    <x v="5"/>
  </r>
  <r>
    <s v="ORD00360"/>
    <s v="2025-08-25"/>
    <s v="CHOC0027"/>
    <s v="Almond Elegance"/>
    <x v="1"/>
    <n v="1.66"/>
    <n v="1720"/>
    <n v="2855.2"/>
    <n v="142.76"/>
    <n v="2712.44"/>
    <x v="3"/>
    <x v="1"/>
    <x v="2"/>
  </r>
  <r>
    <s v="ORD00361"/>
    <s v="2025-07-10"/>
    <s v="CHOC0176"/>
    <s v="Hazelnut Heaven"/>
    <x v="4"/>
    <n v="9.41"/>
    <n v="1898"/>
    <n v="17860.18"/>
    <n v="0"/>
    <n v="17860.18"/>
    <x v="0"/>
    <x v="0"/>
    <x v="4"/>
  </r>
  <r>
    <s v="ORD00362"/>
    <s v="2025-11-27"/>
    <s v="CHOC0114"/>
    <s v="Almond Elegance"/>
    <x v="1"/>
    <n v="13.72"/>
    <n v="1718"/>
    <n v="23570.959999999999"/>
    <n v="2357.1"/>
    <n v="21213.86"/>
    <x v="0"/>
    <x v="0"/>
    <x v="2"/>
  </r>
  <r>
    <s v="ORD00363"/>
    <s v="2025-01-26"/>
    <s v="CHOC0044"/>
    <s v="Lava Bite"/>
    <x v="2"/>
    <n v="12.59"/>
    <n v="828"/>
    <n v="10424.52"/>
    <n v="1563.68"/>
    <n v="8860.84"/>
    <x v="0"/>
    <x v="2"/>
    <x v="1"/>
  </r>
  <r>
    <s v="ORD00364"/>
    <s v="2025-08-07"/>
    <s v="CHOC0045"/>
    <s v="Silk Sensation"/>
    <x v="3"/>
    <n v="13.76"/>
    <n v="583"/>
    <n v="8022.08"/>
    <n v="802.21"/>
    <n v="7219.87"/>
    <x v="4"/>
    <x v="1"/>
    <x v="5"/>
  </r>
  <r>
    <s v="ORD00365"/>
    <s v="2025-11-11"/>
    <s v="CHOC0159"/>
    <s v="Choco Luxe"/>
    <x v="3"/>
    <n v="10.24"/>
    <n v="1041"/>
    <n v="10659.84"/>
    <n v="1598.98"/>
    <n v="9060.86"/>
    <x v="1"/>
    <x v="2"/>
    <x v="5"/>
  </r>
  <r>
    <s v="ORD00366"/>
    <s v="2025-02-14"/>
    <s v="CHOC0072"/>
    <s v="Classic Cocoa"/>
    <x v="3"/>
    <n v="7.16"/>
    <n v="1336"/>
    <n v="9565.76"/>
    <n v="478.29"/>
    <n v="9087.4699999999993"/>
    <x v="1"/>
    <x v="0"/>
    <x v="2"/>
  </r>
  <r>
    <s v="ORD00367"/>
    <s v="2025-07-03"/>
    <s v="CHOC0123"/>
    <s v="White Pearl"/>
    <x v="2"/>
    <n v="6.14"/>
    <n v="1178"/>
    <n v="7232.92"/>
    <n v="723.29"/>
    <n v="6509.63"/>
    <x v="4"/>
    <x v="3"/>
    <x v="4"/>
  </r>
  <r>
    <s v="ORD00368"/>
    <s v="2025-01-14"/>
    <s v="CHOC0082"/>
    <s v="Choco Luxe"/>
    <x v="3"/>
    <n v="1.9"/>
    <n v="1680"/>
    <n v="3192"/>
    <n v="319.2"/>
    <n v="2872.8"/>
    <x v="0"/>
    <x v="2"/>
    <x v="0"/>
  </r>
  <r>
    <s v="ORD00369"/>
    <s v="2025-07-03"/>
    <s v="CHOC0197"/>
    <s v="Lava Bite"/>
    <x v="3"/>
    <n v="14.65"/>
    <n v="225"/>
    <n v="3296.25"/>
    <n v="164.81"/>
    <n v="3131.44"/>
    <x v="3"/>
    <x v="3"/>
    <x v="0"/>
  </r>
  <r>
    <s v="ORD00370"/>
    <s v="2025-01-29"/>
    <s v="CHOC0196"/>
    <s v="Choco Supreme"/>
    <x v="4"/>
    <n v="12.93"/>
    <n v="1653"/>
    <n v="21373.29"/>
    <n v="3205.99"/>
    <n v="18167.3"/>
    <x v="2"/>
    <x v="1"/>
    <x v="4"/>
  </r>
  <r>
    <s v="ORD00371"/>
    <s v="2025-05-02"/>
    <s v="CHOC0152"/>
    <s v="Golden Nougat"/>
    <x v="0"/>
    <n v="10.92"/>
    <n v="1891"/>
    <n v="20649.72"/>
    <n v="0"/>
    <n v="20649.72"/>
    <x v="2"/>
    <x v="1"/>
    <x v="0"/>
  </r>
  <r>
    <s v="ORD00372"/>
    <s v="2025-04-07"/>
    <s v="CHOC0127"/>
    <s v="White Pearl"/>
    <x v="5"/>
    <n v="3.87"/>
    <n v="97"/>
    <n v="375.39"/>
    <n v="0"/>
    <n v="375.39"/>
    <x v="0"/>
    <x v="1"/>
    <x v="0"/>
  </r>
  <r>
    <s v="ORD00373"/>
    <s v="2025-04-23"/>
    <s v="CHOC0006"/>
    <s v="Mocha Dream"/>
    <x v="2"/>
    <n v="1.51"/>
    <n v="1899"/>
    <n v="2867.49"/>
    <n v="143.37"/>
    <n v="2724.12"/>
    <x v="3"/>
    <x v="3"/>
    <x v="1"/>
  </r>
  <r>
    <s v="ORD00374"/>
    <s v="2025-04-01"/>
    <s v="CHOC0083"/>
    <s v="Milk Bliss"/>
    <x v="1"/>
    <n v="3.49"/>
    <n v="1463"/>
    <n v="5105.87"/>
    <n v="255.29"/>
    <n v="4850.58"/>
    <x v="0"/>
    <x v="3"/>
    <x v="5"/>
  </r>
  <r>
    <s v="ORD00375"/>
    <s v="2025-07-11"/>
    <s v="CHOC0181"/>
    <s v="Classic Cocoa"/>
    <x v="4"/>
    <n v="2.86"/>
    <n v="638"/>
    <n v="1824.68"/>
    <n v="182.47"/>
    <n v="1642.21"/>
    <x v="3"/>
    <x v="1"/>
    <x v="1"/>
  </r>
  <r>
    <s v="ORD00376"/>
    <s v="2025-08-12"/>
    <s v="CHOC0164"/>
    <s v="Crispy Wafer"/>
    <x v="0"/>
    <n v="5.78"/>
    <n v="1468"/>
    <n v="8485.0400000000009"/>
    <n v="848.5"/>
    <n v="7636.54"/>
    <x v="3"/>
    <x v="1"/>
    <x v="2"/>
  </r>
  <r>
    <s v="ORD00377"/>
    <s v="2025-06-07"/>
    <s v="CHOC0188"/>
    <s v="Minty Magic"/>
    <x v="3"/>
    <n v="3.9"/>
    <n v="23"/>
    <n v="89.7"/>
    <n v="13.46"/>
    <n v="76.239999999999995"/>
    <x v="1"/>
    <x v="0"/>
    <x v="4"/>
  </r>
  <r>
    <s v="ORD00378"/>
    <s v="2025-11-05"/>
    <s v="CHOC0082"/>
    <s v="Choco Luxe"/>
    <x v="3"/>
    <n v="10.14"/>
    <n v="233"/>
    <n v="2362.62"/>
    <n v="354.39"/>
    <n v="2008.23"/>
    <x v="3"/>
    <x v="3"/>
    <x v="1"/>
  </r>
  <r>
    <s v="ORD00379"/>
    <s v="2025-02-09"/>
    <s v="CHOC0061"/>
    <s v="Silk Sensation"/>
    <x v="5"/>
    <n v="3.77"/>
    <n v="1833"/>
    <n v="6910.41"/>
    <n v="0"/>
    <n v="6910.41"/>
    <x v="2"/>
    <x v="2"/>
    <x v="5"/>
  </r>
  <r>
    <s v="ORD00380"/>
    <s v="2025-05-16"/>
    <s v="CHOC0054"/>
    <s v="Choco Supreme"/>
    <x v="0"/>
    <n v="2.42"/>
    <n v="545"/>
    <n v="1318.9"/>
    <n v="0"/>
    <n v="1318.9"/>
    <x v="0"/>
    <x v="0"/>
    <x v="2"/>
  </r>
  <r>
    <s v="ORD00381"/>
    <s v="2025-08-13"/>
    <s v="CHOC0188"/>
    <s v="Royal Fudge"/>
    <x v="3"/>
    <n v="13.44"/>
    <n v="1029"/>
    <n v="13829.76"/>
    <n v="2074.46"/>
    <n v="11755.3"/>
    <x v="2"/>
    <x v="2"/>
    <x v="5"/>
  </r>
  <r>
    <s v="ORD00382"/>
    <s v="2025-09-03"/>
    <s v="CHOC0148"/>
    <s v="Choco Supreme"/>
    <x v="3"/>
    <n v="7.59"/>
    <n v="1656"/>
    <n v="12569.04"/>
    <n v="0"/>
    <n v="12569.04"/>
    <x v="2"/>
    <x v="0"/>
    <x v="3"/>
  </r>
  <r>
    <s v="ORD00383"/>
    <s v="2025-05-14"/>
    <s v="CHOC0027"/>
    <s v="Hazelnut Heaven"/>
    <x v="5"/>
    <n v="3.8"/>
    <n v="788"/>
    <n v="2994.4"/>
    <n v="149.72"/>
    <n v="2844.68"/>
    <x v="0"/>
    <x v="0"/>
    <x v="3"/>
  </r>
  <r>
    <s v="ORD00384"/>
    <s v="2025-11-01"/>
    <s v="CHOC0158"/>
    <s v="Crispy Wafer"/>
    <x v="0"/>
    <n v="1.92"/>
    <n v="1950"/>
    <n v="3744"/>
    <n v="187.2"/>
    <n v="3556.8"/>
    <x v="1"/>
    <x v="2"/>
    <x v="4"/>
  </r>
  <r>
    <s v="ORD00385"/>
    <s v="2025-01-28"/>
    <s v="CHOC0026"/>
    <s v="Golden Nougat"/>
    <x v="3"/>
    <n v="14.65"/>
    <n v="858"/>
    <n v="12569.7"/>
    <n v="1256.97"/>
    <n v="11312.73"/>
    <x v="2"/>
    <x v="3"/>
    <x v="4"/>
  </r>
  <r>
    <s v="ORD00386"/>
    <s v="2025-02-19"/>
    <s v="CHOC0013"/>
    <s v="Classic Cocoa"/>
    <x v="4"/>
    <n v="8.92"/>
    <n v="1025"/>
    <n v="9143"/>
    <n v="457.15"/>
    <n v="8685.85"/>
    <x v="0"/>
    <x v="3"/>
    <x v="5"/>
  </r>
  <r>
    <s v="ORD00387"/>
    <s v="2025-08-07"/>
    <s v="CHOC0023"/>
    <s v="Minty Magic"/>
    <x v="0"/>
    <n v="9.94"/>
    <n v="1003"/>
    <n v="9969.82"/>
    <n v="498.49"/>
    <n v="9471.33"/>
    <x v="0"/>
    <x v="0"/>
    <x v="4"/>
  </r>
  <r>
    <s v="ORD00388"/>
    <s v="2025-03-29"/>
    <s v="CHOC0164"/>
    <s v="Minty Magic"/>
    <x v="1"/>
    <n v="7.89"/>
    <n v="256"/>
    <n v="2019.84"/>
    <n v="201.98"/>
    <n v="1817.86"/>
    <x v="4"/>
    <x v="2"/>
    <x v="2"/>
  </r>
  <r>
    <s v="ORD00389"/>
    <s v="2025-12-05"/>
    <s v="CHOC0068"/>
    <s v="Hazelnut Heaven"/>
    <x v="0"/>
    <n v="8.85"/>
    <n v="398"/>
    <n v="3522.3"/>
    <n v="352.23"/>
    <n v="3170.07"/>
    <x v="4"/>
    <x v="3"/>
    <x v="4"/>
  </r>
  <r>
    <s v="ORD00390"/>
    <s v="2025-08-17"/>
    <s v="CHOC0012"/>
    <s v="Berry Infusion"/>
    <x v="2"/>
    <n v="7.78"/>
    <n v="483"/>
    <n v="3757.74"/>
    <n v="375.77"/>
    <n v="3381.97"/>
    <x v="1"/>
    <x v="0"/>
    <x v="4"/>
  </r>
  <r>
    <s v="ORD00391"/>
    <s v="2025-12-23"/>
    <s v="CHOC0171"/>
    <s v="Caramel Crunch"/>
    <x v="1"/>
    <n v="10.52"/>
    <n v="1675"/>
    <n v="17621"/>
    <n v="2643.15"/>
    <n v="14977.85"/>
    <x v="1"/>
    <x v="1"/>
    <x v="0"/>
  </r>
  <r>
    <s v="ORD00392"/>
    <s v="2025-02-01"/>
    <s v="CHOC0100"/>
    <s v="Mocha Dream"/>
    <x v="2"/>
    <n v="14.54"/>
    <n v="1427"/>
    <n v="20748.580000000002"/>
    <n v="3112.29"/>
    <n v="17636.29"/>
    <x v="1"/>
    <x v="1"/>
    <x v="2"/>
  </r>
  <r>
    <s v="ORD00393"/>
    <s v="2025-06-03"/>
    <s v="CHOC0021"/>
    <s v="Classic Cocoa"/>
    <x v="0"/>
    <n v="1.97"/>
    <n v="1189"/>
    <n v="2342.33"/>
    <n v="117.12"/>
    <n v="2225.21"/>
    <x v="0"/>
    <x v="2"/>
    <x v="4"/>
  </r>
  <r>
    <s v="ORD00394"/>
    <s v="2025-03-27"/>
    <s v="CHOC0055"/>
    <s v="Velvet Truffle"/>
    <x v="3"/>
    <n v="2.08"/>
    <n v="180"/>
    <n v="374.4"/>
    <n v="56.16"/>
    <n v="318.24"/>
    <x v="3"/>
    <x v="1"/>
    <x v="0"/>
  </r>
  <r>
    <s v="ORD00395"/>
    <s v="2025-05-13"/>
    <s v="CHOC0082"/>
    <s v="Hazelnut Heaven"/>
    <x v="1"/>
    <n v="6.74"/>
    <n v="833"/>
    <n v="5614.42"/>
    <n v="561.44000000000005"/>
    <n v="5052.9799999999996"/>
    <x v="2"/>
    <x v="2"/>
    <x v="5"/>
  </r>
  <r>
    <s v="ORD00396"/>
    <s v="2025-12-25"/>
    <s v="CHOC0160"/>
    <s v="Lava Bite"/>
    <x v="4"/>
    <n v="12.05"/>
    <n v="250"/>
    <n v="3012.5"/>
    <n v="451.88"/>
    <n v="2560.62"/>
    <x v="3"/>
    <x v="1"/>
    <x v="0"/>
  </r>
  <r>
    <s v="ORD00397"/>
    <s v="2025-10-29"/>
    <s v="CHOC0150"/>
    <s v="Caramel Crunch"/>
    <x v="1"/>
    <n v="9.1"/>
    <n v="226"/>
    <n v="2056.6"/>
    <n v="205.66"/>
    <n v="1850.94"/>
    <x v="1"/>
    <x v="3"/>
    <x v="2"/>
  </r>
  <r>
    <s v="ORD00398"/>
    <s v="2025-05-16"/>
    <s v="CHOC0099"/>
    <s v="Crispy Wafer"/>
    <x v="4"/>
    <n v="9.7200000000000006"/>
    <n v="96"/>
    <n v="933.12"/>
    <n v="46.66"/>
    <n v="886.46"/>
    <x v="2"/>
    <x v="2"/>
    <x v="4"/>
  </r>
  <r>
    <s v="ORD00399"/>
    <s v="2025-11-13"/>
    <s v="CHOC0156"/>
    <s v="Classic Cocoa"/>
    <x v="1"/>
    <n v="6.84"/>
    <n v="1820"/>
    <n v="12448.8"/>
    <n v="1244.8800000000001"/>
    <n v="11203.92"/>
    <x v="3"/>
    <x v="0"/>
    <x v="1"/>
  </r>
  <r>
    <s v="ORD00400"/>
    <s v="2025-09-01"/>
    <s v="CHOC0069"/>
    <s v="Silk Sensation"/>
    <x v="1"/>
    <n v="6.06"/>
    <n v="1645"/>
    <n v="9968.7000000000007"/>
    <n v="996.87"/>
    <n v="8971.83"/>
    <x v="2"/>
    <x v="3"/>
    <x v="2"/>
  </r>
  <r>
    <s v="ORD00401"/>
    <s v="2025-12-23"/>
    <s v="CHOC0176"/>
    <s v="Caramel Crunch"/>
    <x v="3"/>
    <n v="3.31"/>
    <n v="1543"/>
    <n v="5107.33"/>
    <n v="766.1"/>
    <n v="4341.2299999999996"/>
    <x v="2"/>
    <x v="3"/>
    <x v="1"/>
  </r>
  <r>
    <s v="ORD00402"/>
    <s v="2025-08-02"/>
    <s v="CHOC0155"/>
    <s v="Hazelnut Heaven"/>
    <x v="3"/>
    <n v="7.46"/>
    <n v="1890"/>
    <n v="14099.4"/>
    <n v="2114.91"/>
    <n v="11984.49"/>
    <x v="4"/>
    <x v="3"/>
    <x v="5"/>
  </r>
  <r>
    <s v="ORD00403"/>
    <s v="2025-09-21"/>
    <s v="CHOC0041"/>
    <s v="Hazelnut Heaven"/>
    <x v="5"/>
    <n v="11.08"/>
    <n v="846"/>
    <n v="9373.68"/>
    <n v="468.68"/>
    <n v="8905"/>
    <x v="1"/>
    <x v="0"/>
    <x v="4"/>
  </r>
  <r>
    <s v="ORD00404"/>
    <s v="2025-04-09"/>
    <s v="CHOC0052"/>
    <s v="Milk Bliss"/>
    <x v="3"/>
    <n v="1.95"/>
    <n v="123"/>
    <n v="239.85"/>
    <n v="23.98"/>
    <n v="215.87"/>
    <x v="3"/>
    <x v="3"/>
    <x v="3"/>
  </r>
  <r>
    <s v="ORD00405"/>
    <s v="2025-08-26"/>
    <s v="CHOC0130"/>
    <s v="Classic Cocoa"/>
    <x v="0"/>
    <n v="13.96"/>
    <n v="1415"/>
    <n v="19753.400000000001"/>
    <n v="0"/>
    <n v="19753.400000000001"/>
    <x v="3"/>
    <x v="3"/>
    <x v="2"/>
  </r>
  <r>
    <s v="ORD00406"/>
    <s v="2025-11-01"/>
    <s v="CHOC0115"/>
    <s v="Cocoa Royale"/>
    <x v="2"/>
    <n v="9.42"/>
    <n v="736"/>
    <n v="6933.12"/>
    <n v="693.31"/>
    <n v="6239.81"/>
    <x v="3"/>
    <x v="3"/>
    <x v="1"/>
  </r>
  <r>
    <s v="ORD00407"/>
    <s v="2025-12-19"/>
    <s v="CHOC0024"/>
    <s v="Minty Magic"/>
    <x v="1"/>
    <n v="6.72"/>
    <n v="353"/>
    <n v="2372.16"/>
    <n v="118.61"/>
    <n v="2253.5500000000002"/>
    <x v="3"/>
    <x v="1"/>
    <x v="1"/>
  </r>
  <r>
    <s v="ORD00408"/>
    <s v="2025-04-16"/>
    <s v="CHOC0069"/>
    <s v="Royal Fudge"/>
    <x v="4"/>
    <n v="1.77"/>
    <n v="1618"/>
    <n v="2863.86"/>
    <n v="0"/>
    <n v="2863.86"/>
    <x v="4"/>
    <x v="1"/>
    <x v="1"/>
  </r>
  <r>
    <s v="ORD00409"/>
    <s v="2025-03-30"/>
    <s v="CHOC0154"/>
    <s v="Dark Delight"/>
    <x v="3"/>
    <n v="4.91"/>
    <n v="1668"/>
    <n v="8189.88"/>
    <n v="818.99"/>
    <n v="7370.89"/>
    <x v="2"/>
    <x v="2"/>
    <x v="2"/>
  </r>
  <r>
    <s v="ORD00410"/>
    <s v="2025-06-28"/>
    <s v="CHOC0118"/>
    <s v="Berry Infusion"/>
    <x v="3"/>
    <n v="7.8"/>
    <n v="1406"/>
    <n v="10966.8"/>
    <n v="1645.02"/>
    <n v="9321.7800000000007"/>
    <x v="1"/>
    <x v="0"/>
    <x v="5"/>
  </r>
  <r>
    <s v="ORD00411"/>
    <s v="2025-09-19"/>
    <s v="CHOC0170"/>
    <s v="Silk Sensation"/>
    <x v="4"/>
    <n v="10.24"/>
    <n v="1267"/>
    <n v="12974.08"/>
    <n v="1297.4100000000001"/>
    <n v="11676.67"/>
    <x v="2"/>
    <x v="0"/>
    <x v="2"/>
  </r>
  <r>
    <s v="ORD00412"/>
    <s v="2025-02-02"/>
    <s v="CHOC0087"/>
    <s v="Berry Infusion"/>
    <x v="0"/>
    <n v="5.89"/>
    <n v="587"/>
    <n v="3457.43"/>
    <n v="345.74"/>
    <n v="3111.69"/>
    <x v="2"/>
    <x v="1"/>
    <x v="4"/>
  </r>
  <r>
    <s v="ORD00413"/>
    <s v="2025-09-22"/>
    <s v="CHOC0196"/>
    <s v="Choco Supreme"/>
    <x v="1"/>
    <n v="12.37"/>
    <n v="1663"/>
    <n v="20571.310000000001"/>
    <n v="3085.7"/>
    <n v="17485.61"/>
    <x v="2"/>
    <x v="1"/>
    <x v="1"/>
  </r>
  <r>
    <s v="ORD00414"/>
    <s v="2025-01-14"/>
    <s v="CHOC0168"/>
    <s v="Crispy Wafer"/>
    <x v="5"/>
    <n v="5"/>
    <n v="877"/>
    <n v="4385"/>
    <n v="657.75"/>
    <n v="3727.25"/>
    <x v="4"/>
    <x v="0"/>
    <x v="0"/>
  </r>
  <r>
    <s v="ORD00415"/>
    <s v="2025-12-29"/>
    <s v="CHOC0147"/>
    <s v="Velvet Truffle"/>
    <x v="5"/>
    <n v="11.31"/>
    <n v="475"/>
    <n v="5372.25"/>
    <n v="805.84"/>
    <n v="4566.41"/>
    <x v="2"/>
    <x v="3"/>
    <x v="4"/>
  </r>
  <r>
    <s v="ORD00416"/>
    <s v="2025-12-03"/>
    <s v="CHOC0143"/>
    <s v="Cocoa Royale"/>
    <x v="5"/>
    <n v="2.82"/>
    <n v="282"/>
    <n v="795.24"/>
    <n v="79.52"/>
    <n v="715.72"/>
    <x v="1"/>
    <x v="1"/>
    <x v="1"/>
  </r>
  <r>
    <s v="ORD00417"/>
    <s v="2025-06-21"/>
    <s v="CHOC0168"/>
    <s v="Hazelnut Heaven"/>
    <x v="3"/>
    <n v="6.3"/>
    <n v="1544"/>
    <n v="9727.2000000000007"/>
    <n v="972.72"/>
    <n v="8754.48"/>
    <x v="4"/>
    <x v="3"/>
    <x v="3"/>
  </r>
  <r>
    <s v="ORD00418"/>
    <s v="2025-05-14"/>
    <s v="CHOC0150"/>
    <s v="Minty Magic"/>
    <x v="2"/>
    <n v="12.99"/>
    <n v="983"/>
    <n v="12769.17"/>
    <n v="0"/>
    <n v="12769.17"/>
    <x v="1"/>
    <x v="0"/>
    <x v="2"/>
  </r>
  <r>
    <s v="ORD00419"/>
    <s v="2025-04-10"/>
    <s v="CHOC0129"/>
    <s v="Caramel Crunch"/>
    <x v="0"/>
    <n v="6.65"/>
    <n v="631"/>
    <n v="4196.1499999999996"/>
    <n v="629.41999999999996"/>
    <n v="3566.73"/>
    <x v="0"/>
    <x v="1"/>
    <x v="4"/>
  </r>
  <r>
    <s v="ORD00420"/>
    <s v="2025-04-13"/>
    <s v="CHOC0088"/>
    <s v="Royal Fudge"/>
    <x v="4"/>
    <n v="13.55"/>
    <n v="957"/>
    <n v="12967.35"/>
    <n v="648.37"/>
    <n v="12318.98"/>
    <x v="2"/>
    <x v="1"/>
    <x v="5"/>
  </r>
  <r>
    <s v="ORD00421"/>
    <s v="2025-09-07"/>
    <s v="CHOC0086"/>
    <s v="Cocoa Royale"/>
    <x v="5"/>
    <n v="10.07"/>
    <n v="29"/>
    <n v="292.02999999999997"/>
    <n v="43.8"/>
    <n v="248.23"/>
    <x v="2"/>
    <x v="1"/>
    <x v="4"/>
  </r>
  <r>
    <s v="ORD00422"/>
    <s v="2025-10-23"/>
    <s v="CHOC0196"/>
    <s v="Cocoa Royale"/>
    <x v="2"/>
    <n v="12.1"/>
    <n v="1616"/>
    <n v="19553.599999999999"/>
    <n v="0"/>
    <n v="19553.599999999999"/>
    <x v="3"/>
    <x v="2"/>
    <x v="1"/>
  </r>
  <r>
    <s v="ORD00423"/>
    <s v="2025-08-08"/>
    <s v="CHOC0104"/>
    <s v="Royal Fudge"/>
    <x v="2"/>
    <n v="6.67"/>
    <n v="97"/>
    <n v="646.99"/>
    <n v="32.35"/>
    <n v="614.64"/>
    <x v="2"/>
    <x v="0"/>
    <x v="3"/>
  </r>
  <r>
    <s v="ORD00424"/>
    <s v="2025-09-29"/>
    <s v="CHOC0049"/>
    <s v="Dark Delight"/>
    <x v="0"/>
    <n v="1.56"/>
    <n v="1522"/>
    <n v="2374.3200000000002"/>
    <n v="118.72"/>
    <n v="2255.6"/>
    <x v="3"/>
    <x v="3"/>
    <x v="3"/>
  </r>
  <r>
    <s v="ORD00425"/>
    <s v="2025-03-08"/>
    <s v="CHOC0027"/>
    <s v="Classic Cocoa"/>
    <x v="4"/>
    <n v="9.4499999999999993"/>
    <n v="362"/>
    <n v="3420.9"/>
    <n v="0"/>
    <n v="3420.9"/>
    <x v="0"/>
    <x v="3"/>
    <x v="3"/>
  </r>
  <r>
    <s v="ORD00426"/>
    <s v="2025-08-22"/>
    <s v="CHOC0187"/>
    <s v="Mocha Dream"/>
    <x v="4"/>
    <n v="8.58"/>
    <n v="908"/>
    <n v="7790.64"/>
    <n v="389.53"/>
    <n v="7401.11"/>
    <x v="2"/>
    <x v="2"/>
    <x v="3"/>
  </r>
  <r>
    <s v="ORD00427"/>
    <s v="2025-04-07"/>
    <s v="CHOC0043"/>
    <s v="Classic Cocoa"/>
    <x v="1"/>
    <n v="4.58"/>
    <n v="1509"/>
    <n v="6911.22"/>
    <n v="345.56"/>
    <n v="6565.66"/>
    <x v="3"/>
    <x v="0"/>
    <x v="0"/>
  </r>
  <r>
    <s v="ORD00428"/>
    <s v="2025-09-16"/>
    <s v="CHOC0044"/>
    <s v="Caramel Crunch"/>
    <x v="5"/>
    <n v="11.1"/>
    <n v="1642"/>
    <n v="18226.2"/>
    <n v="0"/>
    <n v="18226.2"/>
    <x v="4"/>
    <x v="3"/>
    <x v="0"/>
  </r>
  <r>
    <s v="ORD00429"/>
    <s v="2025-11-16"/>
    <s v="CHOC0013"/>
    <s v="Choco Luxe"/>
    <x v="1"/>
    <n v="10.44"/>
    <n v="1358"/>
    <n v="14177.52"/>
    <n v="0"/>
    <n v="14177.52"/>
    <x v="0"/>
    <x v="0"/>
    <x v="2"/>
  </r>
  <r>
    <s v="ORD00430"/>
    <s v="2025-08-16"/>
    <s v="CHOC0098"/>
    <s v="Caramel Crunch"/>
    <x v="4"/>
    <n v="4.91"/>
    <n v="1457"/>
    <n v="7153.87"/>
    <n v="357.69"/>
    <n v="6796.18"/>
    <x v="3"/>
    <x v="0"/>
    <x v="3"/>
  </r>
  <r>
    <s v="ORD00431"/>
    <s v="2025-08-04"/>
    <s v="CHOC0170"/>
    <s v="Caramel Crunch"/>
    <x v="0"/>
    <n v="8.52"/>
    <n v="1295"/>
    <n v="11033.4"/>
    <n v="551.66999999999996"/>
    <n v="10481.73"/>
    <x v="4"/>
    <x v="0"/>
    <x v="0"/>
  </r>
  <r>
    <s v="ORD00432"/>
    <s v="2025-11-13"/>
    <s v="CHOC0031"/>
    <s v="Minty Magic"/>
    <x v="1"/>
    <n v="12.09"/>
    <n v="1039"/>
    <n v="12561.51"/>
    <n v="628.08000000000004"/>
    <n v="11933.43"/>
    <x v="1"/>
    <x v="1"/>
    <x v="3"/>
  </r>
  <r>
    <s v="ORD00433"/>
    <s v="2025-09-25"/>
    <s v="CHOC0052"/>
    <s v="Silk Sensation"/>
    <x v="0"/>
    <n v="7.03"/>
    <n v="348"/>
    <n v="2446.44"/>
    <n v="0"/>
    <n v="2446.44"/>
    <x v="1"/>
    <x v="2"/>
    <x v="4"/>
  </r>
  <r>
    <s v="ORD00434"/>
    <s v="2025-12-19"/>
    <s v="CHOC0124"/>
    <s v="Golden Nougat"/>
    <x v="3"/>
    <n v="1.54"/>
    <n v="1395"/>
    <n v="2148.3000000000002"/>
    <n v="0"/>
    <n v="2148.3000000000002"/>
    <x v="0"/>
    <x v="2"/>
    <x v="4"/>
  </r>
  <r>
    <s v="ORD00435"/>
    <s v="2025-02-16"/>
    <s v="CHOC0200"/>
    <s v="Mocha Dream"/>
    <x v="1"/>
    <n v="11.27"/>
    <n v="227"/>
    <n v="2558.29"/>
    <n v="255.83"/>
    <n v="2302.46"/>
    <x v="3"/>
    <x v="2"/>
    <x v="3"/>
  </r>
  <r>
    <s v="ORD00436"/>
    <s v="2025-05-16"/>
    <s v="CHOC0119"/>
    <s v="Milk Bliss"/>
    <x v="1"/>
    <n v="12.48"/>
    <n v="1810"/>
    <n v="22588.799999999999"/>
    <n v="0"/>
    <n v="22588.799999999999"/>
    <x v="2"/>
    <x v="3"/>
    <x v="1"/>
  </r>
  <r>
    <s v="ORD00437"/>
    <s v="2025-06-10"/>
    <s v="CHOC0110"/>
    <s v="Caramel Crunch"/>
    <x v="1"/>
    <n v="12.99"/>
    <n v="1843"/>
    <n v="23940.57"/>
    <n v="0"/>
    <n v="23940.57"/>
    <x v="0"/>
    <x v="1"/>
    <x v="1"/>
  </r>
  <r>
    <s v="ORD00438"/>
    <s v="2025-11-28"/>
    <s v="CHOC0044"/>
    <s v="Golden Nougat"/>
    <x v="5"/>
    <n v="13.58"/>
    <n v="1976"/>
    <n v="26834.080000000002"/>
    <n v="2683.41"/>
    <n v="24150.67"/>
    <x v="0"/>
    <x v="3"/>
    <x v="3"/>
  </r>
  <r>
    <s v="ORD00439"/>
    <s v="2025-04-04"/>
    <s v="CHOC0030"/>
    <s v="Classic Cocoa"/>
    <x v="2"/>
    <n v="14.49"/>
    <n v="576"/>
    <n v="8346.24"/>
    <n v="1251.94"/>
    <n v="7094.3"/>
    <x v="4"/>
    <x v="2"/>
    <x v="1"/>
  </r>
  <r>
    <s v="ORD00440"/>
    <s v="2025-03-27"/>
    <s v="CHOC0029"/>
    <s v="Almond Elegance"/>
    <x v="0"/>
    <n v="11.31"/>
    <n v="1950"/>
    <n v="22054.5"/>
    <n v="1102.73"/>
    <n v="20951.77"/>
    <x v="0"/>
    <x v="2"/>
    <x v="0"/>
  </r>
  <r>
    <s v="ORD00441"/>
    <s v="2025-09-05"/>
    <s v="CHOC0146"/>
    <s v="Choco Fusion"/>
    <x v="3"/>
    <n v="9.75"/>
    <n v="1615"/>
    <n v="15746.25"/>
    <n v="1574.62"/>
    <n v="14171.63"/>
    <x v="1"/>
    <x v="0"/>
    <x v="1"/>
  </r>
  <r>
    <s v="ORD00442"/>
    <s v="2025-03-08"/>
    <s v="CHOC0124"/>
    <s v="Crispy Wafer"/>
    <x v="1"/>
    <n v="13.48"/>
    <n v="922"/>
    <n v="12428.56"/>
    <n v="0"/>
    <n v="12428.56"/>
    <x v="0"/>
    <x v="3"/>
    <x v="1"/>
  </r>
  <r>
    <s v="ORD00443"/>
    <s v="2025-06-10"/>
    <s v="CHOC0004"/>
    <s v="Mocha Dream"/>
    <x v="0"/>
    <n v="9.2799999999999994"/>
    <n v="1177"/>
    <n v="10922.56"/>
    <n v="546.13"/>
    <n v="10376.43"/>
    <x v="2"/>
    <x v="0"/>
    <x v="2"/>
  </r>
  <r>
    <s v="ORD00444"/>
    <s v="2025-12-05"/>
    <s v="CHOC0187"/>
    <s v="Choco Supreme"/>
    <x v="2"/>
    <n v="6.17"/>
    <n v="1405"/>
    <n v="8668.85"/>
    <n v="1300.33"/>
    <n v="7368.52"/>
    <x v="3"/>
    <x v="0"/>
    <x v="5"/>
  </r>
  <r>
    <s v="ORD00445"/>
    <s v="2025-11-26"/>
    <s v="CHOC0041"/>
    <s v="Mocha Dream"/>
    <x v="2"/>
    <n v="13"/>
    <n v="1800"/>
    <n v="23400"/>
    <n v="1170"/>
    <n v="22230"/>
    <x v="0"/>
    <x v="2"/>
    <x v="3"/>
  </r>
  <r>
    <s v="ORD00446"/>
    <s v="2025-05-04"/>
    <s v="CHOC0085"/>
    <s v="Berry Infusion"/>
    <x v="1"/>
    <n v="8.34"/>
    <n v="1147"/>
    <n v="9565.98"/>
    <n v="1434.9"/>
    <n v="8131.08"/>
    <x v="4"/>
    <x v="1"/>
    <x v="5"/>
  </r>
  <r>
    <s v="ORD00447"/>
    <s v="2025-08-24"/>
    <s v="CHOC0114"/>
    <s v="Lava Bite"/>
    <x v="2"/>
    <n v="2.69"/>
    <n v="1040"/>
    <n v="2797.6"/>
    <n v="419.64"/>
    <n v="2377.96"/>
    <x v="2"/>
    <x v="0"/>
    <x v="2"/>
  </r>
  <r>
    <s v="ORD00448"/>
    <s v="2025-12-01"/>
    <s v="CHOC0005"/>
    <s v="Caramel Crunch"/>
    <x v="2"/>
    <n v="7.07"/>
    <n v="1161"/>
    <n v="8208.27"/>
    <n v="0"/>
    <n v="8208.27"/>
    <x v="0"/>
    <x v="3"/>
    <x v="0"/>
  </r>
  <r>
    <s v="ORD00449"/>
    <s v="2025-10-15"/>
    <s v="CHOC0053"/>
    <s v="Choco Fusion"/>
    <x v="5"/>
    <n v="6.41"/>
    <n v="131"/>
    <n v="839.71"/>
    <n v="41.99"/>
    <n v="797.72"/>
    <x v="4"/>
    <x v="3"/>
    <x v="0"/>
  </r>
  <r>
    <s v="ORD00450"/>
    <s v="2025-11-14"/>
    <s v="CHOC0154"/>
    <s v="Crispy Wafer"/>
    <x v="0"/>
    <n v="10.37"/>
    <n v="1486"/>
    <n v="15409.82"/>
    <n v="2311.4699999999998"/>
    <n v="13098.35"/>
    <x v="0"/>
    <x v="0"/>
    <x v="1"/>
  </r>
  <r>
    <s v="ORD00451"/>
    <s v="2025-04-24"/>
    <s v="CHOC0001"/>
    <s v="Golden Nougat"/>
    <x v="5"/>
    <n v="12.7"/>
    <n v="1995"/>
    <n v="25336.5"/>
    <n v="2533.65"/>
    <n v="22802.85"/>
    <x v="1"/>
    <x v="3"/>
    <x v="1"/>
  </r>
  <r>
    <s v="ORD00452"/>
    <s v="2025-02-24"/>
    <s v="CHOC0012"/>
    <s v="Cocoa Royale"/>
    <x v="2"/>
    <n v="3.4"/>
    <n v="1488"/>
    <n v="5059.2"/>
    <n v="758.88"/>
    <n v="4300.32"/>
    <x v="0"/>
    <x v="3"/>
    <x v="0"/>
  </r>
  <r>
    <s v="ORD00453"/>
    <s v="2025-04-11"/>
    <s v="CHOC0049"/>
    <s v="Caramel Crunch"/>
    <x v="2"/>
    <n v="4.41"/>
    <n v="1708"/>
    <n v="7532.28"/>
    <n v="376.61"/>
    <n v="7155.67"/>
    <x v="2"/>
    <x v="0"/>
    <x v="2"/>
  </r>
  <r>
    <s v="ORD00454"/>
    <s v="2025-01-24"/>
    <s v="CHOC0163"/>
    <s v="Lava Bite"/>
    <x v="1"/>
    <n v="11.92"/>
    <n v="942"/>
    <n v="11228.64"/>
    <n v="1684.3"/>
    <n v="9544.34"/>
    <x v="1"/>
    <x v="1"/>
    <x v="2"/>
  </r>
  <r>
    <s v="ORD00455"/>
    <s v="2025-01-03"/>
    <s v="CHOC0136"/>
    <s v="Milk Bliss"/>
    <x v="4"/>
    <n v="14.13"/>
    <n v="1737"/>
    <n v="24543.81"/>
    <n v="3681.57"/>
    <n v="20862.240000000002"/>
    <x v="1"/>
    <x v="1"/>
    <x v="1"/>
  </r>
  <r>
    <s v="ORD00456"/>
    <s v="2025-10-24"/>
    <s v="CHOC0045"/>
    <s v="Almond Elegance"/>
    <x v="1"/>
    <n v="6.73"/>
    <n v="1249"/>
    <n v="8405.77"/>
    <n v="840.58"/>
    <n v="7565.19"/>
    <x v="1"/>
    <x v="2"/>
    <x v="2"/>
  </r>
  <r>
    <s v="ORD00457"/>
    <s v="2025-11-08"/>
    <s v="CHOC0178"/>
    <s v="Choco Supreme"/>
    <x v="5"/>
    <n v="6.87"/>
    <n v="722"/>
    <n v="4960.1400000000003"/>
    <n v="496.01"/>
    <n v="4464.13"/>
    <x v="4"/>
    <x v="1"/>
    <x v="4"/>
  </r>
  <r>
    <s v="ORD00458"/>
    <s v="2025-07-31"/>
    <s v="CHOC0155"/>
    <s v="Mocha Dream"/>
    <x v="5"/>
    <n v="12.88"/>
    <n v="1141"/>
    <n v="14696.08"/>
    <n v="1469.61"/>
    <n v="13226.47"/>
    <x v="1"/>
    <x v="1"/>
    <x v="4"/>
  </r>
  <r>
    <s v="ORD00459"/>
    <s v="2025-04-18"/>
    <s v="CHOC0160"/>
    <s v="Minty Magic"/>
    <x v="0"/>
    <n v="6.16"/>
    <n v="1397"/>
    <n v="8605.52"/>
    <n v="430.28"/>
    <n v="8175.24"/>
    <x v="3"/>
    <x v="3"/>
    <x v="1"/>
  </r>
  <r>
    <s v="ORD00460"/>
    <s v="2025-03-01"/>
    <s v="CHOC0195"/>
    <s v="Silk Sensation"/>
    <x v="4"/>
    <n v="7.98"/>
    <n v="1188"/>
    <n v="9480.24"/>
    <n v="1422.04"/>
    <n v="8058.2"/>
    <x v="1"/>
    <x v="3"/>
    <x v="2"/>
  </r>
  <r>
    <s v="ORD00461"/>
    <s v="2025-01-07"/>
    <s v="CHOC0134"/>
    <s v="Caramel Crunch"/>
    <x v="1"/>
    <n v="6.64"/>
    <n v="128"/>
    <n v="849.92"/>
    <n v="0"/>
    <n v="849.92"/>
    <x v="3"/>
    <x v="3"/>
    <x v="4"/>
  </r>
  <r>
    <s v="ORD00462"/>
    <s v="2025-05-27"/>
    <s v="CHOC0175"/>
    <s v="Berry Infusion"/>
    <x v="3"/>
    <n v="12.83"/>
    <n v="1434"/>
    <n v="18398.22"/>
    <n v="1839.82"/>
    <n v="16558.400000000001"/>
    <x v="3"/>
    <x v="0"/>
    <x v="3"/>
  </r>
  <r>
    <s v="ORD00463"/>
    <s v="2025-08-20"/>
    <s v="CHOC0027"/>
    <s v="Choco Luxe"/>
    <x v="0"/>
    <n v="11.48"/>
    <n v="1791"/>
    <n v="20560.68"/>
    <n v="1028.03"/>
    <n v="19532.650000000001"/>
    <x v="1"/>
    <x v="2"/>
    <x v="4"/>
  </r>
  <r>
    <s v="ORD00464"/>
    <s v="2025-09-19"/>
    <s v="CHOC0179"/>
    <s v="Minty Magic"/>
    <x v="0"/>
    <n v="10.47"/>
    <n v="1917"/>
    <n v="20070.990000000002"/>
    <n v="3010.65"/>
    <n v="17060.34"/>
    <x v="4"/>
    <x v="2"/>
    <x v="1"/>
  </r>
  <r>
    <s v="ORD00465"/>
    <s v="2025-06-10"/>
    <s v="CHOC0142"/>
    <s v="Milk Bliss"/>
    <x v="1"/>
    <n v="11.54"/>
    <n v="435"/>
    <n v="5019.8999999999996"/>
    <n v="752.98"/>
    <n v="4266.92"/>
    <x v="3"/>
    <x v="3"/>
    <x v="0"/>
  </r>
  <r>
    <s v="ORD00466"/>
    <s v="2025-10-07"/>
    <s v="CHOC0190"/>
    <s v="Choco Luxe"/>
    <x v="3"/>
    <n v="11.98"/>
    <n v="1994"/>
    <n v="23888.12"/>
    <n v="1194.4100000000001"/>
    <n v="22693.71"/>
    <x v="2"/>
    <x v="2"/>
    <x v="4"/>
  </r>
  <r>
    <s v="ORD00467"/>
    <s v="2025-12-16"/>
    <s v="CHOC0020"/>
    <s v="Cocoa Royale"/>
    <x v="3"/>
    <n v="11.42"/>
    <n v="264"/>
    <n v="3014.88"/>
    <n v="452.23"/>
    <n v="2562.65"/>
    <x v="0"/>
    <x v="2"/>
    <x v="3"/>
  </r>
  <r>
    <s v="ORD00468"/>
    <s v="2025-10-12"/>
    <s v="CHOC0068"/>
    <s v="Almond Elegance"/>
    <x v="3"/>
    <n v="9.3800000000000008"/>
    <n v="542"/>
    <n v="5083.96"/>
    <n v="0"/>
    <n v="5083.96"/>
    <x v="2"/>
    <x v="2"/>
    <x v="1"/>
  </r>
  <r>
    <s v="ORD00469"/>
    <s v="2025-03-21"/>
    <s v="CHOC0011"/>
    <s v="Almond Elegance"/>
    <x v="5"/>
    <n v="9.56"/>
    <n v="1604"/>
    <n v="15334.24"/>
    <n v="1533.42"/>
    <n v="13800.82"/>
    <x v="4"/>
    <x v="3"/>
    <x v="5"/>
  </r>
  <r>
    <s v="ORD00470"/>
    <s v="2025-12-29"/>
    <s v="CHOC0082"/>
    <s v="Mocha Dream"/>
    <x v="3"/>
    <n v="14.42"/>
    <n v="1086"/>
    <n v="15660.12"/>
    <n v="0"/>
    <n v="15660.12"/>
    <x v="1"/>
    <x v="1"/>
    <x v="2"/>
  </r>
  <r>
    <s v="ORD00471"/>
    <s v="2025-10-06"/>
    <s v="CHOC0138"/>
    <s v="Classic Cocoa"/>
    <x v="1"/>
    <n v="6.22"/>
    <n v="1829"/>
    <n v="11376.38"/>
    <n v="568.82000000000005"/>
    <n v="10807.56"/>
    <x v="2"/>
    <x v="3"/>
    <x v="3"/>
  </r>
  <r>
    <s v="ORD00472"/>
    <s v="2025-05-31"/>
    <s v="CHOC0056"/>
    <s v="Choco Luxe"/>
    <x v="4"/>
    <n v="7.91"/>
    <n v="1169"/>
    <n v="9246.7900000000009"/>
    <n v="0"/>
    <n v="9246.7900000000009"/>
    <x v="0"/>
    <x v="3"/>
    <x v="2"/>
  </r>
  <r>
    <s v="ORD00473"/>
    <s v="2025-05-04"/>
    <s v="CHOC0165"/>
    <s v="Choco Luxe"/>
    <x v="4"/>
    <n v="4.79"/>
    <n v="101"/>
    <n v="483.79"/>
    <n v="48.38"/>
    <n v="435.41"/>
    <x v="4"/>
    <x v="0"/>
    <x v="2"/>
  </r>
  <r>
    <s v="ORD00474"/>
    <s v="2025-05-12"/>
    <s v="CHOC0139"/>
    <s v="Minty Magic"/>
    <x v="1"/>
    <n v="13.8"/>
    <n v="1703"/>
    <n v="23501.4"/>
    <n v="2350.14"/>
    <n v="21151.26"/>
    <x v="1"/>
    <x v="2"/>
    <x v="2"/>
  </r>
  <r>
    <s v="ORD00475"/>
    <s v="2025-01-23"/>
    <s v="CHOC0076"/>
    <s v="Velvet Truffle"/>
    <x v="5"/>
    <n v="8.44"/>
    <n v="1961"/>
    <n v="16550.84"/>
    <n v="0"/>
    <n v="16550.84"/>
    <x v="3"/>
    <x v="0"/>
    <x v="1"/>
  </r>
  <r>
    <s v="ORD00476"/>
    <s v="2025-02-03"/>
    <s v="CHOC0054"/>
    <s v="Velvet Truffle"/>
    <x v="0"/>
    <n v="7.23"/>
    <n v="232"/>
    <n v="1677.36"/>
    <n v="83.87"/>
    <n v="1593.49"/>
    <x v="1"/>
    <x v="2"/>
    <x v="1"/>
  </r>
  <r>
    <s v="ORD00477"/>
    <s v="2025-02-06"/>
    <s v="CHOC0192"/>
    <s v="Almond Elegance"/>
    <x v="1"/>
    <n v="7.7"/>
    <n v="699"/>
    <n v="5382.3"/>
    <n v="0"/>
    <n v="5382.3"/>
    <x v="0"/>
    <x v="0"/>
    <x v="5"/>
  </r>
  <r>
    <s v="ORD00478"/>
    <s v="2025-04-02"/>
    <s v="CHOC0065"/>
    <s v="White Pearl"/>
    <x v="1"/>
    <n v="9.26"/>
    <n v="486"/>
    <n v="4500.3599999999997"/>
    <n v="450.04"/>
    <n v="4050.32"/>
    <x v="4"/>
    <x v="2"/>
    <x v="2"/>
  </r>
  <r>
    <s v="ORD00479"/>
    <s v="2025-11-19"/>
    <s v="CHOC0104"/>
    <s v="Royal Fudge"/>
    <x v="5"/>
    <n v="1.73"/>
    <n v="1398"/>
    <n v="2418.54"/>
    <n v="0"/>
    <n v="2418.54"/>
    <x v="1"/>
    <x v="0"/>
    <x v="1"/>
  </r>
  <r>
    <s v="ORD00480"/>
    <s v="2025-11-13"/>
    <s v="CHOC0017"/>
    <s v="Lava Bite"/>
    <x v="1"/>
    <n v="10.96"/>
    <n v="168"/>
    <n v="1841.28"/>
    <n v="184.13"/>
    <n v="1657.15"/>
    <x v="1"/>
    <x v="0"/>
    <x v="3"/>
  </r>
  <r>
    <s v="ORD00481"/>
    <s v="2025-12-18"/>
    <s v="CHOC0078"/>
    <s v="Choco Luxe"/>
    <x v="1"/>
    <n v="5.3"/>
    <n v="1917"/>
    <n v="10160.1"/>
    <n v="1524.02"/>
    <n v="8636.08"/>
    <x v="4"/>
    <x v="2"/>
    <x v="1"/>
  </r>
  <r>
    <s v="ORD00482"/>
    <s v="2025-01-16"/>
    <s v="CHOC0122"/>
    <s v="Cocoa Royale"/>
    <x v="4"/>
    <n v="4.47"/>
    <n v="1549"/>
    <n v="6924.03"/>
    <n v="1038.5999999999999"/>
    <n v="5885.43"/>
    <x v="1"/>
    <x v="3"/>
    <x v="1"/>
  </r>
  <r>
    <s v="ORD00483"/>
    <s v="2025-03-15"/>
    <s v="CHOC0077"/>
    <s v="Silk Sensation"/>
    <x v="1"/>
    <n v="8.9700000000000006"/>
    <n v="1156"/>
    <n v="10369.32"/>
    <n v="518.47"/>
    <n v="9850.85"/>
    <x v="0"/>
    <x v="0"/>
    <x v="5"/>
  </r>
  <r>
    <s v="ORD00484"/>
    <s v="2025-10-21"/>
    <s v="CHOC0153"/>
    <s v="Classic Cocoa"/>
    <x v="4"/>
    <n v="8.89"/>
    <n v="194"/>
    <n v="1724.66"/>
    <n v="172.47"/>
    <n v="1552.19"/>
    <x v="3"/>
    <x v="3"/>
    <x v="4"/>
  </r>
  <r>
    <s v="ORD00485"/>
    <s v="2025-07-31"/>
    <s v="CHOC0166"/>
    <s v="Mocha Dream"/>
    <x v="3"/>
    <n v="3.67"/>
    <n v="472"/>
    <n v="1732.24"/>
    <n v="173.22"/>
    <n v="1559.02"/>
    <x v="3"/>
    <x v="0"/>
    <x v="4"/>
  </r>
  <r>
    <s v="ORD00486"/>
    <s v="2025-12-10"/>
    <s v="CHOC0146"/>
    <s v="Milk Bliss"/>
    <x v="4"/>
    <n v="7.73"/>
    <n v="1145"/>
    <n v="8850.85"/>
    <n v="0"/>
    <n v="8850.85"/>
    <x v="2"/>
    <x v="0"/>
    <x v="3"/>
  </r>
  <r>
    <s v="ORD00487"/>
    <s v="2025-02-20"/>
    <s v="CHOC0051"/>
    <s v="Lava Bite"/>
    <x v="2"/>
    <n v="14.35"/>
    <n v="751"/>
    <n v="10776.85"/>
    <n v="538.84"/>
    <n v="10238.01"/>
    <x v="3"/>
    <x v="0"/>
    <x v="3"/>
  </r>
  <r>
    <s v="ORD00488"/>
    <s v="2025-11-14"/>
    <s v="CHOC0018"/>
    <s v="Velvet Truffle"/>
    <x v="5"/>
    <n v="8.06"/>
    <n v="692"/>
    <n v="5577.52"/>
    <n v="557.75"/>
    <n v="5019.7700000000004"/>
    <x v="1"/>
    <x v="1"/>
    <x v="0"/>
  </r>
  <r>
    <s v="ORD00489"/>
    <s v="2025-10-18"/>
    <s v="CHOC0094"/>
    <s v="Golden Nougat"/>
    <x v="2"/>
    <n v="3.78"/>
    <n v="661"/>
    <n v="2498.58"/>
    <n v="124.93"/>
    <n v="2373.65"/>
    <x v="3"/>
    <x v="2"/>
    <x v="3"/>
  </r>
  <r>
    <s v="ORD00490"/>
    <s v="2025-07-04"/>
    <s v="CHOC0035"/>
    <s v="Golden Nougat"/>
    <x v="2"/>
    <n v="7.75"/>
    <n v="754"/>
    <n v="5843.5"/>
    <n v="584.35"/>
    <n v="5259.15"/>
    <x v="4"/>
    <x v="0"/>
    <x v="4"/>
  </r>
  <r>
    <s v="ORD00491"/>
    <s v="2025-11-27"/>
    <s v="CHOC0156"/>
    <s v="Hazelnut Heaven"/>
    <x v="5"/>
    <n v="13.09"/>
    <n v="306"/>
    <n v="4005.54"/>
    <n v="200.28"/>
    <n v="3805.26"/>
    <x v="2"/>
    <x v="0"/>
    <x v="1"/>
  </r>
  <r>
    <s v="ORD00492"/>
    <s v="2025-02-08"/>
    <s v="CHOC0005"/>
    <s v="Mocha Dream"/>
    <x v="0"/>
    <n v="1.92"/>
    <n v="1211"/>
    <n v="2325.12"/>
    <n v="348.77"/>
    <n v="1976.35"/>
    <x v="1"/>
    <x v="1"/>
    <x v="5"/>
  </r>
  <r>
    <s v="ORD00493"/>
    <s v="2025-10-10"/>
    <s v="CHOC0067"/>
    <s v="White Pearl"/>
    <x v="4"/>
    <n v="7.87"/>
    <n v="1607"/>
    <n v="12647.09"/>
    <n v="632.35"/>
    <n v="12014.74"/>
    <x v="2"/>
    <x v="2"/>
    <x v="4"/>
  </r>
  <r>
    <s v="ORD00494"/>
    <s v="2025-10-29"/>
    <s v="CHOC0188"/>
    <s v="Minty Magic"/>
    <x v="3"/>
    <n v="7.77"/>
    <n v="1065"/>
    <n v="8275.0499999999993"/>
    <n v="0"/>
    <n v="8275.0499999999993"/>
    <x v="4"/>
    <x v="3"/>
    <x v="0"/>
  </r>
  <r>
    <s v="ORD00495"/>
    <s v="2025-01-06"/>
    <s v="CHOC0170"/>
    <s v="Choco Supreme"/>
    <x v="4"/>
    <n v="10.74"/>
    <n v="1570"/>
    <n v="16861.8"/>
    <n v="843.09"/>
    <n v="16018.71"/>
    <x v="4"/>
    <x v="1"/>
    <x v="4"/>
  </r>
  <r>
    <s v="ORD00496"/>
    <s v="2025-10-17"/>
    <s v="CHOC0145"/>
    <s v="Almond Elegance"/>
    <x v="0"/>
    <n v="11.38"/>
    <n v="1943"/>
    <n v="22111.34"/>
    <n v="2211.13"/>
    <n v="19900.21"/>
    <x v="0"/>
    <x v="1"/>
    <x v="2"/>
  </r>
  <r>
    <s v="ORD00497"/>
    <s v="2025-04-29"/>
    <s v="CHOC0017"/>
    <s v="Berry Infusion"/>
    <x v="5"/>
    <n v="4.66"/>
    <n v="1389"/>
    <n v="6472.74"/>
    <n v="323.64"/>
    <n v="6149.1"/>
    <x v="1"/>
    <x v="3"/>
    <x v="2"/>
  </r>
  <r>
    <s v="ORD00498"/>
    <s v="2025-08-29"/>
    <s v="CHOC0117"/>
    <s v="Milk Bliss"/>
    <x v="1"/>
    <n v="14.74"/>
    <n v="683"/>
    <n v="10067.42"/>
    <n v="0"/>
    <n v="10067.42"/>
    <x v="1"/>
    <x v="3"/>
    <x v="1"/>
  </r>
  <r>
    <s v="ORD00499"/>
    <s v="2025-05-15"/>
    <s v="CHOC0149"/>
    <s v="White Pearl"/>
    <x v="4"/>
    <n v="3.85"/>
    <n v="1358"/>
    <n v="5228.3"/>
    <n v="784.25"/>
    <n v="4444.05"/>
    <x v="2"/>
    <x v="0"/>
    <x v="0"/>
  </r>
  <r>
    <s v="ORD00500"/>
    <s v="2025-05-09"/>
    <s v="CHOC0097"/>
    <s v="Choco Supreme"/>
    <x v="4"/>
    <n v="6.98"/>
    <n v="1693"/>
    <n v="11817.14"/>
    <n v="1181.71"/>
    <n v="10635.43"/>
    <x v="4"/>
    <x v="2"/>
    <x v="0"/>
  </r>
  <r>
    <s v="ORD00501"/>
    <s v="2025-01-04"/>
    <s v="CHOC0129"/>
    <s v="Almond Elegance"/>
    <x v="2"/>
    <n v="3.74"/>
    <n v="177"/>
    <n v="661.98"/>
    <n v="66.2"/>
    <n v="595.78"/>
    <x v="3"/>
    <x v="1"/>
    <x v="4"/>
  </r>
  <r>
    <s v="ORD00502"/>
    <s v="2025-03-22"/>
    <s v="CHOC0093"/>
    <s v="Choco Luxe"/>
    <x v="0"/>
    <n v="12.53"/>
    <n v="1373"/>
    <n v="17203.689999999999"/>
    <n v="860.18"/>
    <n v="16343.51"/>
    <x v="4"/>
    <x v="3"/>
    <x v="1"/>
  </r>
  <r>
    <s v="ORD00503"/>
    <s v="2025-02-28"/>
    <s v="CHOC0124"/>
    <s v="Crispy Wafer"/>
    <x v="2"/>
    <n v="4.34"/>
    <n v="350"/>
    <n v="1519"/>
    <n v="227.85"/>
    <n v="1291.1500000000001"/>
    <x v="0"/>
    <x v="1"/>
    <x v="5"/>
  </r>
  <r>
    <s v="ORD00504"/>
    <s v="2025-03-07"/>
    <s v="CHOC0147"/>
    <s v="Lava Bite"/>
    <x v="3"/>
    <n v="3.32"/>
    <n v="1069"/>
    <n v="3549.08"/>
    <n v="0"/>
    <n v="3549.08"/>
    <x v="1"/>
    <x v="1"/>
    <x v="5"/>
  </r>
  <r>
    <s v="ORD00505"/>
    <s v="2025-03-27"/>
    <s v="CHOC0067"/>
    <s v="Cocoa Royale"/>
    <x v="4"/>
    <n v="14.44"/>
    <n v="1247"/>
    <n v="18006.68"/>
    <n v="0"/>
    <n v="18006.68"/>
    <x v="2"/>
    <x v="0"/>
    <x v="4"/>
  </r>
  <r>
    <s v="ORD00506"/>
    <s v="2025-08-18"/>
    <s v="CHOC0156"/>
    <s v="Crispy Wafer"/>
    <x v="2"/>
    <n v="3.8"/>
    <n v="1720"/>
    <n v="6536"/>
    <n v="980.4"/>
    <n v="5555.6"/>
    <x v="1"/>
    <x v="1"/>
    <x v="0"/>
  </r>
  <r>
    <s v="ORD00507"/>
    <s v="2025-04-04"/>
    <s v="CHOC0160"/>
    <s v="Mocha Dream"/>
    <x v="5"/>
    <n v="3.76"/>
    <n v="1424"/>
    <n v="5354.24"/>
    <n v="535.41999999999996"/>
    <n v="4818.82"/>
    <x v="4"/>
    <x v="0"/>
    <x v="4"/>
  </r>
  <r>
    <s v="ORD00508"/>
    <s v="2025-07-13"/>
    <s v="CHOC0099"/>
    <s v="Almond Elegance"/>
    <x v="1"/>
    <n v="1.72"/>
    <n v="1090"/>
    <n v="1874.8"/>
    <n v="281.22000000000003"/>
    <n v="1593.58"/>
    <x v="3"/>
    <x v="0"/>
    <x v="4"/>
  </r>
  <r>
    <s v="ORD00509"/>
    <s v="2025-09-01"/>
    <s v="CHOC0158"/>
    <s v="Choco Luxe"/>
    <x v="1"/>
    <n v="13.35"/>
    <n v="1108"/>
    <n v="14791.8"/>
    <n v="0"/>
    <n v="14791.8"/>
    <x v="0"/>
    <x v="2"/>
    <x v="1"/>
  </r>
  <r>
    <s v="ORD00510"/>
    <s v="2025-03-08"/>
    <s v="CHOC0155"/>
    <s v="White Pearl"/>
    <x v="1"/>
    <n v="13.61"/>
    <n v="1606"/>
    <n v="21857.66"/>
    <n v="3278.65"/>
    <n v="18579.009999999998"/>
    <x v="1"/>
    <x v="2"/>
    <x v="3"/>
  </r>
  <r>
    <s v="ORD00511"/>
    <s v="2025-01-23"/>
    <s v="CHOC0179"/>
    <s v="Mocha Dream"/>
    <x v="2"/>
    <n v="4.5999999999999996"/>
    <n v="1663"/>
    <n v="7649.8"/>
    <n v="1147.47"/>
    <n v="6502.33"/>
    <x v="4"/>
    <x v="3"/>
    <x v="0"/>
  </r>
  <r>
    <s v="ORD00512"/>
    <s v="2025-12-23"/>
    <s v="CHOC0148"/>
    <s v="Caramel Crunch"/>
    <x v="2"/>
    <n v="3.31"/>
    <n v="997"/>
    <n v="3300.07"/>
    <n v="165"/>
    <n v="3135.07"/>
    <x v="0"/>
    <x v="3"/>
    <x v="0"/>
  </r>
  <r>
    <s v="ORD00513"/>
    <s v="2025-10-06"/>
    <s v="CHOC0105"/>
    <s v="Berry Infusion"/>
    <x v="3"/>
    <n v="1.57"/>
    <n v="1542"/>
    <n v="2420.94"/>
    <n v="0"/>
    <n v="2420.94"/>
    <x v="1"/>
    <x v="0"/>
    <x v="0"/>
  </r>
  <r>
    <s v="ORD00514"/>
    <s v="2025-01-04"/>
    <s v="CHOC0097"/>
    <s v="Velvet Truffle"/>
    <x v="0"/>
    <n v="12.36"/>
    <n v="857"/>
    <n v="10592.52"/>
    <n v="1059.25"/>
    <n v="9533.27"/>
    <x v="0"/>
    <x v="1"/>
    <x v="2"/>
  </r>
  <r>
    <s v="ORD00515"/>
    <s v="2025-11-30"/>
    <s v="CHOC0150"/>
    <s v="Berry Infusion"/>
    <x v="5"/>
    <n v="13.04"/>
    <n v="887"/>
    <n v="11566.48"/>
    <n v="1156.6500000000001"/>
    <n v="10409.83"/>
    <x v="1"/>
    <x v="3"/>
    <x v="1"/>
  </r>
  <r>
    <s v="ORD00516"/>
    <s v="2025-07-23"/>
    <s v="CHOC0194"/>
    <s v="Velvet Truffle"/>
    <x v="2"/>
    <n v="8.9499999999999993"/>
    <n v="1161"/>
    <n v="10390.950000000001"/>
    <n v="1558.64"/>
    <n v="8832.31"/>
    <x v="3"/>
    <x v="3"/>
    <x v="0"/>
  </r>
  <r>
    <s v="ORD00517"/>
    <s v="2025-10-12"/>
    <s v="CHOC0124"/>
    <s v="Berry Infusion"/>
    <x v="5"/>
    <n v="9.3000000000000007"/>
    <n v="1605"/>
    <n v="14926.5"/>
    <n v="2238.9699999999998"/>
    <n v="12687.53"/>
    <x v="3"/>
    <x v="0"/>
    <x v="1"/>
  </r>
  <r>
    <s v="ORD00518"/>
    <s v="2025-04-28"/>
    <s v="CHOC0115"/>
    <s v="Cocoa Royale"/>
    <x v="1"/>
    <n v="4.4000000000000004"/>
    <n v="840"/>
    <n v="3696"/>
    <n v="369.6"/>
    <n v="3326.4"/>
    <x v="1"/>
    <x v="0"/>
    <x v="4"/>
  </r>
  <r>
    <s v="ORD00519"/>
    <s v="2025-07-19"/>
    <s v="CHOC0163"/>
    <s v="Dark Delight"/>
    <x v="1"/>
    <n v="12.61"/>
    <n v="985"/>
    <n v="12420.85"/>
    <n v="1863.13"/>
    <n v="10557.72"/>
    <x v="0"/>
    <x v="0"/>
    <x v="3"/>
  </r>
  <r>
    <s v="ORD00520"/>
    <s v="2025-04-24"/>
    <s v="CHOC0095"/>
    <s v="Hazelnut Heaven"/>
    <x v="4"/>
    <n v="2.0099999999999998"/>
    <n v="807"/>
    <n v="1622.07"/>
    <n v="243.31"/>
    <n v="1378.76"/>
    <x v="1"/>
    <x v="3"/>
    <x v="1"/>
  </r>
  <r>
    <s v="ORD00521"/>
    <s v="2025-11-02"/>
    <s v="CHOC0015"/>
    <s v="Cocoa Royale"/>
    <x v="0"/>
    <n v="8.17"/>
    <n v="41"/>
    <n v="334.97"/>
    <n v="16.75"/>
    <n v="318.22000000000003"/>
    <x v="1"/>
    <x v="3"/>
    <x v="4"/>
  </r>
  <r>
    <s v="ORD00522"/>
    <s v="2025-01-18"/>
    <s v="CHOC0154"/>
    <s v="Mocha Dream"/>
    <x v="4"/>
    <n v="10.93"/>
    <n v="1279"/>
    <n v="13979.47"/>
    <n v="698.97"/>
    <n v="13280.5"/>
    <x v="0"/>
    <x v="3"/>
    <x v="4"/>
  </r>
  <r>
    <s v="ORD00523"/>
    <s v="2025-12-02"/>
    <s v="CHOC0001"/>
    <s v="Cocoa Royale"/>
    <x v="1"/>
    <n v="14.96"/>
    <n v="1616"/>
    <n v="24175.360000000001"/>
    <n v="3626.3"/>
    <n v="20549.060000000001"/>
    <x v="2"/>
    <x v="2"/>
    <x v="2"/>
  </r>
  <r>
    <s v="ORD00524"/>
    <s v="2025-10-28"/>
    <s v="CHOC0052"/>
    <s v="Mocha Dream"/>
    <x v="1"/>
    <n v="11.45"/>
    <n v="160"/>
    <n v="1832"/>
    <n v="0"/>
    <n v="1832"/>
    <x v="1"/>
    <x v="3"/>
    <x v="1"/>
  </r>
  <r>
    <s v="ORD00525"/>
    <s v="2025-10-14"/>
    <s v="CHOC0150"/>
    <s v="Silk Sensation"/>
    <x v="5"/>
    <n v="14.5"/>
    <n v="586"/>
    <n v="8497"/>
    <n v="424.85"/>
    <n v="8072.15"/>
    <x v="1"/>
    <x v="1"/>
    <x v="2"/>
  </r>
  <r>
    <s v="ORD00526"/>
    <s v="2025-07-26"/>
    <s v="CHOC0148"/>
    <s v="Dark Delight"/>
    <x v="5"/>
    <n v="3.86"/>
    <n v="1056"/>
    <n v="4076.16"/>
    <n v="0"/>
    <n v="4076.16"/>
    <x v="1"/>
    <x v="0"/>
    <x v="0"/>
  </r>
  <r>
    <s v="ORD00527"/>
    <s v="2025-05-31"/>
    <s v="CHOC0088"/>
    <s v="Caramel Crunch"/>
    <x v="4"/>
    <n v="14.42"/>
    <n v="1814"/>
    <n v="26157.88"/>
    <n v="2615.79"/>
    <n v="23542.09"/>
    <x v="4"/>
    <x v="2"/>
    <x v="0"/>
  </r>
  <r>
    <s v="ORD00528"/>
    <s v="2025-09-05"/>
    <s v="CHOC0198"/>
    <s v="Choco Supreme"/>
    <x v="5"/>
    <n v="14.48"/>
    <n v="959"/>
    <n v="13886.32"/>
    <n v="2082.9499999999998"/>
    <n v="11803.37"/>
    <x v="1"/>
    <x v="0"/>
    <x v="2"/>
  </r>
  <r>
    <s v="ORD00529"/>
    <s v="2025-03-01"/>
    <s v="CHOC0067"/>
    <s v="Hazelnut Heaven"/>
    <x v="2"/>
    <n v="10.050000000000001"/>
    <n v="471"/>
    <n v="4733.55"/>
    <n v="236.68"/>
    <n v="4496.87"/>
    <x v="2"/>
    <x v="2"/>
    <x v="3"/>
  </r>
  <r>
    <s v="ORD00530"/>
    <s v="2025-09-22"/>
    <s v="CHOC0138"/>
    <s v="Dark Delight"/>
    <x v="0"/>
    <n v="12.73"/>
    <n v="528"/>
    <n v="6721.44"/>
    <n v="672.14"/>
    <n v="6049.3"/>
    <x v="0"/>
    <x v="2"/>
    <x v="1"/>
  </r>
  <r>
    <s v="ORD00531"/>
    <s v="2025-06-25"/>
    <s v="CHOC0020"/>
    <s v="White Pearl"/>
    <x v="3"/>
    <n v="7.93"/>
    <n v="744"/>
    <n v="5899.92"/>
    <n v="295"/>
    <n v="5604.92"/>
    <x v="1"/>
    <x v="3"/>
    <x v="4"/>
  </r>
  <r>
    <s v="ORD00532"/>
    <s v="2025-12-16"/>
    <s v="CHOC0049"/>
    <s v="Crispy Wafer"/>
    <x v="0"/>
    <n v="4.2"/>
    <n v="1526"/>
    <n v="6409.2"/>
    <n v="320.45999999999998"/>
    <n v="6088.74"/>
    <x v="2"/>
    <x v="1"/>
    <x v="4"/>
  </r>
  <r>
    <s v="ORD00533"/>
    <s v="2025-04-14"/>
    <s v="CHOC0064"/>
    <s v="Choco Luxe"/>
    <x v="5"/>
    <n v="3.61"/>
    <n v="238"/>
    <n v="859.18"/>
    <n v="0"/>
    <n v="859.18"/>
    <x v="0"/>
    <x v="2"/>
    <x v="0"/>
  </r>
  <r>
    <s v="ORD00534"/>
    <s v="2025-01-04"/>
    <s v="CHOC0196"/>
    <s v="White Pearl"/>
    <x v="1"/>
    <n v="12.95"/>
    <n v="780"/>
    <n v="10101"/>
    <n v="1010.1"/>
    <n v="9090.9"/>
    <x v="4"/>
    <x v="3"/>
    <x v="2"/>
  </r>
  <r>
    <s v="ORD00535"/>
    <s v="2025-04-04"/>
    <s v="CHOC0196"/>
    <s v="Mocha Dream"/>
    <x v="5"/>
    <n v="6.87"/>
    <n v="1556"/>
    <n v="10689.72"/>
    <n v="534.49"/>
    <n v="10155.23"/>
    <x v="0"/>
    <x v="2"/>
    <x v="2"/>
  </r>
  <r>
    <s v="ORD00536"/>
    <s v="2025-10-04"/>
    <s v="CHOC0009"/>
    <s v="Mocha Dream"/>
    <x v="5"/>
    <n v="6.82"/>
    <n v="1425"/>
    <n v="9718.5"/>
    <n v="485.93"/>
    <n v="9232.57"/>
    <x v="4"/>
    <x v="0"/>
    <x v="1"/>
  </r>
  <r>
    <s v="ORD00537"/>
    <s v="2025-09-23"/>
    <s v="CHOC0118"/>
    <s v="Golden Nougat"/>
    <x v="0"/>
    <n v="1.61"/>
    <n v="1400"/>
    <n v="2254"/>
    <n v="112.7"/>
    <n v="2141.3000000000002"/>
    <x v="4"/>
    <x v="0"/>
    <x v="3"/>
  </r>
  <r>
    <s v="ORD00538"/>
    <s v="2025-07-05"/>
    <s v="CHOC0157"/>
    <s v="Berry Infusion"/>
    <x v="3"/>
    <n v="8.91"/>
    <n v="505"/>
    <n v="4499.55"/>
    <n v="449.96"/>
    <n v="4049.59"/>
    <x v="4"/>
    <x v="3"/>
    <x v="3"/>
  </r>
  <r>
    <s v="ORD00539"/>
    <s v="2025-04-05"/>
    <s v="CHOC0128"/>
    <s v="Royal Fudge"/>
    <x v="3"/>
    <n v="7.16"/>
    <n v="1560"/>
    <n v="11169.6"/>
    <n v="1116.96"/>
    <n v="10052.64"/>
    <x v="2"/>
    <x v="2"/>
    <x v="3"/>
  </r>
  <r>
    <s v="ORD00540"/>
    <s v="2025-08-19"/>
    <s v="CHOC0047"/>
    <s v="Lava Bite"/>
    <x v="3"/>
    <n v="14.72"/>
    <n v="1424"/>
    <n v="20961.28"/>
    <n v="1048.06"/>
    <n v="19913.22"/>
    <x v="0"/>
    <x v="3"/>
    <x v="4"/>
  </r>
  <r>
    <s v="ORD00541"/>
    <s v="2025-10-12"/>
    <s v="CHOC0111"/>
    <s v="Classic Cocoa"/>
    <x v="3"/>
    <n v="3.47"/>
    <n v="1984"/>
    <n v="6884.48"/>
    <n v="344.22"/>
    <n v="6540.26"/>
    <x v="4"/>
    <x v="0"/>
    <x v="4"/>
  </r>
  <r>
    <s v="ORD00542"/>
    <s v="2025-08-04"/>
    <s v="CHOC0128"/>
    <s v="Almond Elegance"/>
    <x v="0"/>
    <n v="8.48"/>
    <n v="1495"/>
    <n v="12677.6"/>
    <n v="1267.76"/>
    <n v="11409.84"/>
    <x v="4"/>
    <x v="3"/>
    <x v="3"/>
  </r>
  <r>
    <s v="ORD00543"/>
    <s v="2025-10-15"/>
    <s v="CHOC0146"/>
    <s v="Milk Bliss"/>
    <x v="2"/>
    <n v="2.84"/>
    <n v="354"/>
    <n v="1005.36"/>
    <n v="0"/>
    <n v="1005.36"/>
    <x v="3"/>
    <x v="3"/>
    <x v="2"/>
  </r>
  <r>
    <s v="ORD00544"/>
    <s v="2025-11-19"/>
    <s v="CHOC0025"/>
    <s v="Choco Fusion"/>
    <x v="0"/>
    <n v="6.02"/>
    <n v="759"/>
    <n v="4569.18"/>
    <n v="456.92"/>
    <n v="4112.26"/>
    <x v="1"/>
    <x v="3"/>
    <x v="3"/>
  </r>
  <r>
    <s v="ORD00545"/>
    <s v="2025-01-11"/>
    <s v="CHOC0106"/>
    <s v="Caramel Crunch"/>
    <x v="5"/>
    <n v="13.21"/>
    <n v="1992"/>
    <n v="26314.32"/>
    <n v="1315.72"/>
    <n v="24998.6"/>
    <x v="1"/>
    <x v="1"/>
    <x v="3"/>
  </r>
  <r>
    <s v="ORD00546"/>
    <s v="2025-07-01"/>
    <s v="CHOC0084"/>
    <s v="Mocha Dream"/>
    <x v="2"/>
    <n v="11.96"/>
    <n v="935"/>
    <n v="11182.6"/>
    <n v="0"/>
    <n v="11182.6"/>
    <x v="4"/>
    <x v="3"/>
    <x v="2"/>
  </r>
  <r>
    <s v="ORD00547"/>
    <s v="2025-11-20"/>
    <s v="CHOC0038"/>
    <s v="Cocoa Royale"/>
    <x v="0"/>
    <n v="12.4"/>
    <n v="710"/>
    <n v="8804"/>
    <n v="1320.6"/>
    <n v="7483.4"/>
    <x v="1"/>
    <x v="2"/>
    <x v="5"/>
  </r>
  <r>
    <s v="ORD00548"/>
    <s v="2025-02-10"/>
    <s v="CHOC0042"/>
    <s v="Golden Nougat"/>
    <x v="3"/>
    <n v="5.73"/>
    <n v="1357"/>
    <n v="7775.61"/>
    <n v="777.56"/>
    <n v="6998.05"/>
    <x v="2"/>
    <x v="2"/>
    <x v="3"/>
  </r>
  <r>
    <s v="ORD00549"/>
    <s v="2025-08-16"/>
    <s v="CHOC0200"/>
    <s v="Silk Sensation"/>
    <x v="0"/>
    <n v="9.42"/>
    <n v="1997"/>
    <n v="18811.740000000002"/>
    <n v="2821.76"/>
    <n v="15989.98"/>
    <x v="4"/>
    <x v="1"/>
    <x v="4"/>
  </r>
  <r>
    <s v="ORD00550"/>
    <s v="2025-01-12"/>
    <s v="CHOC0033"/>
    <s v="Choco Supreme"/>
    <x v="0"/>
    <n v="4.9000000000000004"/>
    <n v="1543"/>
    <n v="7560.7"/>
    <n v="0"/>
    <n v="7560.7"/>
    <x v="3"/>
    <x v="1"/>
    <x v="2"/>
  </r>
  <r>
    <s v="ORD00551"/>
    <s v="2025-02-22"/>
    <s v="CHOC0025"/>
    <s v="Hazelnut Heaven"/>
    <x v="2"/>
    <n v="8.9"/>
    <n v="73"/>
    <n v="649.70000000000005"/>
    <n v="97.45"/>
    <n v="552.25"/>
    <x v="1"/>
    <x v="0"/>
    <x v="5"/>
  </r>
  <r>
    <s v="ORD00552"/>
    <s v="2025-05-15"/>
    <s v="CHOC0159"/>
    <s v="Almond Elegance"/>
    <x v="1"/>
    <n v="10.34"/>
    <n v="1833"/>
    <n v="18953.22"/>
    <n v="2842.98"/>
    <n v="16110.24"/>
    <x v="2"/>
    <x v="1"/>
    <x v="4"/>
  </r>
  <r>
    <s v="ORD00553"/>
    <s v="2025-05-26"/>
    <s v="CHOC0114"/>
    <s v="Almond Elegance"/>
    <x v="3"/>
    <n v="8.61"/>
    <n v="369"/>
    <n v="3177.09"/>
    <n v="0"/>
    <n v="3177.09"/>
    <x v="0"/>
    <x v="3"/>
    <x v="3"/>
  </r>
  <r>
    <s v="ORD00554"/>
    <s v="2025-09-01"/>
    <s v="CHOC0120"/>
    <s v="White Pearl"/>
    <x v="5"/>
    <n v="8.91"/>
    <n v="296"/>
    <n v="2637.36"/>
    <n v="131.87"/>
    <n v="2505.4899999999998"/>
    <x v="1"/>
    <x v="2"/>
    <x v="1"/>
  </r>
  <r>
    <s v="ORD00555"/>
    <s v="2025-11-22"/>
    <s v="CHOC0145"/>
    <s v="Royal Fudge"/>
    <x v="4"/>
    <n v="10.14"/>
    <n v="1113"/>
    <n v="11285.82"/>
    <n v="1128.58"/>
    <n v="10157.24"/>
    <x v="2"/>
    <x v="2"/>
    <x v="0"/>
  </r>
  <r>
    <s v="ORD00556"/>
    <s v="2025-04-27"/>
    <s v="CHOC0023"/>
    <s v="Choco Fusion"/>
    <x v="5"/>
    <n v="6.44"/>
    <n v="552"/>
    <n v="3554.88"/>
    <n v="177.74"/>
    <n v="3377.14"/>
    <x v="2"/>
    <x v="0"/>
    <x v="5"/>
  </r>
  <r>
    <s v="ORD00557"/>
    <s v="2025-09-25"/>
    <s v="CHOC0195"/>
    <s v="Almond Elegance"/>
    <x v="5"/>
    <n v="5.37"/>
    <n v="1115"/>
    <n v="5987.55"/>
    <n v="0"/>
    <n v="5987.55"/>
    <x v="4"/>
    <x v="2"/>
    <x v="3"/>
  </r>
  <r>
    <s v="ORD00558"/>
    <s v="2025-01-05"/>
    <s v="CHOC0197"/>
    <s v="Royal Fudge"/>
    <x v="5"/>
    <n v="9.56"/>
    <n v="1651"/>
    <n v="15783.56"/>
    <n v="0"/>
    <n v="15783.56"/>
    <x v="1"/>
    <x v="3"/>
    <x v="4"/>
  </r>
  <r>
    <s v="ORD00559"/>
    <s v="2025-07-30"/>
    <s v="CHOC0144"/>
    <s v="Royal Fudge"/>
    <x v="2"/>
    <n v="4.87"/>
    <n v="1484"/>
    <n v="7227.08"/>
    <n v="1084.06"/>
    <n v="6143.02"/>
    <x v="4"/>
    <x v="1"/>
    <x v="3"/>
  </r>
  <r>
    <s v="ORD00560"/>
    <s v="2025-02-10"/>
    <s v="CHOC0109"/>
    <s v="Choco Supreme"/>
    <x v="4"/>
    <n v="11.82"/>
    <n v="1883"/>
    <n v="22257.06"/>
    <n v="2225.71"/>
    <n v="20031.349999999999"/>
    <x v="2"/>
    <x v="3"/>
    <x v="2"/>
  </r>
  <r>
    <s v="ORD00561"/>
    <s v="2025-04-07"/>
    <s v="CHOC0018"/>
    <s v="Cocoa Royale"/>
    <x v="3"/>
    <n v="5.41"/>
    <n v="1324"/>
    <n v="7162.84"/>
    <n v="1074.43"/>
    <n v="6088.41"/>
    <x v="1"/>
    <x v="2"/>
    <x v="3"/>
  </r>
  <r>
    <s v="ORD00562"/>
    <s v="2025-12-25"/>
    <s v="CHOC0160"/>
    <s v="Crispy Wafer"/>
    <x v="3"/>
    <n v="5.83"/>
    <n v="331"/>
    <n v="1929.73"/>
    <n v="0"/>
    <n v="1929.73"/>
    <x v="1"/>
    <x v="0"/>
    <x v="4"/>
  </r>
  <r>
    <s v="ORD00563"/>
    <s v="2025-02-22"/>
    <s v="CHOC0073"/>
    <s v="Berry Infusion"/>
    <x v="3"/>
    <n v="11.16"/>
    <n v="1509"/>
    <n v="16840.439999999999"/>
    <n v="0"/>
    <n v="16840.439999999999"/>
    <x v="3"/>
    <x v="0"/>
    <x v="4"/>
  </r>
  <r>
    <s v="ORD00564"/>
    <s v="2025-01-08"/>
    <s v="CHOC0127"/>
    <s v="Velvet Truffle"/>
    <x v="5"/>
    <n v="7.17"/>
    <n v="1629"/>
    <n v="11679.93"/>
    <n v="1751.99"/>
    <n v="9927.94"/>
    <x v="2"/>
    <x v="2"/>
    <x v="1"/>
  </r>
  <r>
    <s v="ORD00565"/>
    <s v="2025-01-17"/>
    <s v="CHOC0085"/>
    <s v="Hazelnut Heaven"/>
    <x v="3"/>
    <n v="2.2599999999999998"/>
    <n v="1608"/>
    <n v="3634.08"/>
    <n v="545.11"/>
    <n v="3088.97"/>
    <x v="0"/>
    <x v="2"/>
    <x v="4"/>
  </r>
  <r>
    <s v="ORD00566"/>
    <s v="2025-04-09"/>
    <s v="CHOC0065"/>
    <s v="Classic Cocoa"/>
    <x v="1"/>
    <n v="3.15"/>
    <n v="1593"/>
    <n v="5017.95"/>
    <n v="250.9"/>
    <n v="4767.05"/>
    <x v="4"/>
    <x v="2"/>
    <x v="4"/>
  </r>
  <r>
    <s v="ORD00567"/>
    <s v="2025-01-18"/>
    <s v="CHOC0051"/>
    <s v="Choco Fusion"/>
    <x v="0"/>
    <n v="11.91"/>
    <n v="1087"/>
    <n v="12946.17"/>
    <n v="647.30999999999995"/>
    <n v="12298.86"/>
    <x v="4"/>
    <x v="2"/>
    <x v="1"/>
  </r>
  <r>
    <s v="ORD00568"/>
    <s v="2025-06-09"/>
    <s v="CHOC0083"/>
    <s v="Cocoa Royale"/>
    <x v="0"/>
    <n v="11.33"/>
    <n v="1545"/>
    <n v="17504.849999999999"/>
    <n v="0"/>
    <n v="17504.849999999999"/>
    <x v="2"/>
    <x v="2"/>
    <x v="1"/>
  </r>
  <r>
    <s v="ORD00569"/>
    <s v="2025-06-02"/>
    <s v="CHOC0051"/>
    <s v="Silk Sensation"/>
    <x v="1"/>
    <n v="13.16"/>
    <n v="466"/>
    <n v="6132.56"/>
    <n v="0"/>
    <n v="6132.56"/>
    <x v="3"/>
    <x v="2"/>
    <x v="3"/>
  </r>
  <r>
    <s v="ORD00570"/>
    <s v="2025-01-08"/>
    <s v="CHOC0043"/>
    <s v="Berry Infusion"/>
    <x v="4"/>
    <n v="3.12"/>
    <n v="1636"/>
    <n v="5104.32"/>
    <n v="255.22"/>
    <n v="4849.1000000000004"/>
    <x v="0"/>
    <x v="0"/>
    <x v="0"/>
  </r>
  <r>
    <s v="ORD00571"/>
    <s v="2025-12-20"/>
    <s v="CHOC0122"/>
    <s v="Choco Luxe"/>
    <x v="3"/>
    <n v="6.51"/>
    <n v="203"/>
    <n v="1321.53"/>
    <n v="66.08"/>
    <n v="1255.45"/>
    <x v="3"/>
    <x v="2"/>
    <x v="5"/>
  </r>
  <r>
    <s v="ORD00572"/>
    <s v="2025-12-18"/>
    <s v="CHOC0159"/>
    <s v="Golden Nougat"/>
    <x v="0"/>
    <n v="2.31"/>
    <n v="748"/>
    <n v="1727.88"/>
    <n v="86.39"/>
    <n v="1641.49"/>
    <x v="1"/>
    <x v="0"/>
    <x v="4"/>
  </r>
  <r>
    <s v="ORD00573"/>
    <s v="2025-09-07"/>
    <s v="CHOC0060"/>
    <s v="Golden Nougat"/>
    <x v="4"/>
    <n v="12.15"/>
    <n v="1569"/>
    <n v="19063.349999999999"/>
    <n v="1906.34"/>
    <n v="17157.009999999998"/>
    <x v="4"/>
    <x v="1"/>
    <x v="5"/>
  </r>
  <r>
    <s v="ORD00574"/>
    <s v="2025-12-19"/>
    <s v="CHOC0097"/>
    <s v="Silk Sensation"/>
    <x v="0"/>
    <n v="3.32"/>
    <n v="1860"/>
    <n v="6175.2"/>
    <n v="0"/>
    <n v="6175.2"/>
    <x v="4"/>
    <x v="2"/>
    <x v="0"/>
  </r>
  <r>
    <s v="ORD00575"/>
    <s v="2025-05-31"/>
    <s v="CHOC0139"/>
    <s v="Crispy Wafer"/>
    <x v="3"/>
    <n v="9.15"/>
    <n v="1133"/>
    <n v="10366.950000000001"/>
    <n v="1036.7"/>
    <n v="9330.25"/>
    <x v="2"/>
    <x v="2"/>
    <x v="3"/>
  </r>
  <r>
    <s v="ORD00576"/>
    <s v="2025-11-03"/>
    <s v="CHOC0142"/>
    <s v="Cocoa Royale"/>
    <x v="1"/>
    <n v="8.67"/>
    <n v="940"/>
    <n v="8149.8"/>
    <n v="814.98"/>
    <n v="7334.82"/>
    <x v="2"/>
    <x v="3"/>
    <x v="2"/>
  </r>
  <r>
    <s v="ORD00577"/>
    <s v="2025-01-01"/>
    <s v="CHOC0199"/>
    <s v="Mocha Dream"/>
    <x v="2"/>
    <n v="11.4"/>
    <n v="1828"/>
    <n v="20839.2"/>
    <n v="0"/>
    <n v="20839.2"/>
    <x v="1"/>
    <x v="3"/>
    <x v="0"/>
  </r>
  <r>
    <s v="ORD00578"/>
    <s v="2025-05-03"/>
    <s v="CHOC0083"/>
    <s v="Hazelnut Heaven"/>
    <x v="0"/>
    <n v="14.56"/>
    <n v="1697"/>
    <n v="24708.32"/>
    <n v="3706.25"/>
    <n v="21002.07"/>
    <x v="3"/>
    <x v="2"/>
    <x v="0"/>
  </r>
  <r>
    <s v="ORD00579"/>
    <s v="2025-03-20"/>
    <s v="CHOC0157"/>
    <s v="Minty Magic"/>
    <x v="5"/>
    <n v="7.03"/>
    <n v="679"/>
    <n v="4773.37"/>
    <n v="0"/>
    <n v="4773.37"/>
    <x v="0"/>
    <x v="0"/>
    <x v="5"/>
  </r>
  <r>
    <s v="ORD00580"/>
    <s v="2025-03-08"/>
    <s v="CHOC0046"/>
    <s v="Milk Bliss"/>
    <x v="3"/>
    <n v="2.95"/>
    <n v="412"/>
    <n v="1215.4000000000001"/>
    <n v="0"/>
    <n v="1215.4000000000001"/>
    <x v="0"/>
    <x v="2"/>
    <x v="1"/>
  </r>
  <r>
    <s v="ORD00581"/>
    <s v="2025-09-08"/>
    <s v="CHOC0135"/>
    <s v="Choco Luxe"/>
    <x v="0"/>
    <n v="9.4700000000000006"/>
    <n v="120"/>
    <n v="1136.4000000000001"/>
    <n v="113.64"/>
    <n v="1022.76"/>
    <x v="3"/>
    <x v="0"/>
    <x v="5"/>
  </r>
  <r>
    <s v="ORD00582"/>
    <s v="2025-04-17"/>
    <s v="CHOC0168"/>
    <s v="Crispy Wafer"/>
    <x v="1"/>
    <n v="7.82"/>
    <n v="1328"/>
    <n v="10384.959999999999"/>
    <n v="0"/>
    <n v="10384.959999999999"/>
    <x v="2"/>
    <x v="2"/>
    <x v="3"/>
  </r>
  <r>
    <s v="ORD00583"/>
    <s v="2025-12-29"/>
    <s v="CHOC0015"/>
    <s v="Choco Luxe"/>
    <x v="5"/>
    <n v="8.64"/>
    <n v="1523"/>
    <n v="13158.72"/>
    <n v="0"/>
    <n v="13158.72"/>
    <x v="2"/>
    <x v="0"/>
    <x v="4"/>
  </r>
  <r>
    <s v="ORD00584"/>
    <s v="2025-09-23"/>
    <s v="CHOC0025"/>
    <s v="Caramel Crunch"/>
    <x v="0"/>
    <n v="4.62"/>
    <n v="809"/>
    <n v="3737.58"/>
    <n v="186.88"/>
    <n v="3550.7"/>
    <x v="3"/>
    <x v="1"/>
    <x v="0"/>
  </r>
  <r>
    <s v="ORD00585"/>
    <s v="2025-11-17"/>
    <s v="CHOC0046"/>
    <s v="White Pearl"/>
    <x v="0"/>
    <n v="9.0299999999999994"/>
    <n v="1548"/>
    <n v="13978.44"/>
    <n v="0"/>
    <n v="13978.44"/>
    <x v="1"/>
    <x v="3"/>
    <x v="1"/>
  </r>
  <r>
    <s v="ORD00586"/>
    <s v="2025-08-23"/>
    <s v="CHOC0180"/>
    <s v="Royal Fudge"/>
    <x v="1"/>
    <n v="3.75"/>
    <n v="389"/>
    <n v="1458.75"/>
    <n v="218.81"/>
    <n v="1239.94"/>
    <x v="1"/>
    <x v="3"/>
    <x v="1"/>
  </r>
  <r>
    <s v="ORD00587"/>
    <s v="2025-03-22"/>
    <s v="CHOC0137"/>
    <s v="Choco Luxe"/>
    <x v="2"/>
    <n v="14.1"/>
    <n v="1868"/>
    <n v="26338.799999999999"/>
    <n v="2633.88"/>
    <n v="23704.92"/>
    <x v="1"/>
    <x v="3"/>
    <x v="3"/>
  </r>
  <r>
    <s v="ORD00588"/>
    <s v="2025-07-31"/>
    <s v="CHOC0196"/>
    <s v="Royal Fudge"/>
    <x v="0"/>
    <n v="5.87"/>
    <n v="512"/>
    <n v="3005.44"/>
    <n v="150.27000000000001"/>
    <n v="2855.17"/>
    <x v="4"/>
    <x v="3"/>
    <x v="3"/>
  </r>
  <r>
    <s v="ORD00589"/>
    <s v="2025-08-20"/>
    <s v="CHOC0115"/>
    <s v="Classic Cocoa"/>
    <x v="1"/>
    <n v="11.31"/>
    <n v="602"/>
    <n v="6808.62"/>
    <n v="0"/>
    <n v="6808.62"/>
    <x v="1"/>
    <x v="1"/>
    <x v="3"/>
  </r>
  <r>
    <s v="ORD00590"/>
    <s v="2025-01-04"/>
    <s v="CHOC0077"/>
    <s v="Choco Supreme"/>
    <x v="3"/>
    <n v="13.05"/>
    <n v="64"/>
    <n v="835.2"/>
    <n v="83.52"/>
    <n v="751.68"/>
    <x v="1"/>
    <x v="1"/>
    <x v="5"/>
  </r>
  <r>
    <s v="ORD00591"/>
    <s v="2025-01-20"/>
    <s v="CHOC0118"/>
    <s v="Silk Sensation"/>
    <x v="3"/>
    <n v="3.37"/>
    <n v="771"/>
    <n v="2598.27"/>
    <n v="129.91"/>
    <n v="2468.36"/>
    <x v="3"/>
    <x v="3"/>
    <x v="3"/>
  </r>
  <r>
    <s v="ORD00592"/>
    <s v="2025-02-17"/>
    <s v="CHOC0147"/>
    <s v="Classic Cocoa"/>
    <x v="4"/>
    <n v="13.89"/>
    <n v="1523"/>
    <n v="21154.47"/>
    <n v="0"/>
    <n v="21154.47"/>
    <x v="2"/>
    <x v="2"/>
    <x v="4"/>
  </r>
  <r>
    <s v="ORD00593"/>
    <s v="2025-09-07"/>
    <s v="CHOC0177"/>
    <s v="Lava Bite"/>
    <x v="1"/>
    <n v="9.5399999999999991"/>
    <n v="635"/>
    <n v="6057.9"/>
    <n v="0"/>
    <n v="6057.9"/>
    <x v="1"/>
    <x v="2"/>
    <x v="5"/>
  </r>
  <r>
    <s v="ORD00594"/>
    <s v="2025-01-29"/>
    <s v="CHOC0198"/>
    <s v="Golden Nougat"/>
    <x v="5"/>
    <n v="13.38"/>
    <n v="909"/>
    <n v="12162.42"/>
    <n v="1824.36"/>
    <n v="10338.06"/>
    <x v="0"/>
    <x v="1"/>
    <x v="1"/>
  </r>
  <r>
    <s v="ORD00595"/>
    <s v="2025-12-01"/>
    <s v="CHOC0155"/>
    <s v="Dark Delight"/>
    <x v="0"/>
    <n v="12"/>
    <n v="803"/>
    <n v="9636"/>
    <n v="0"/>
    <n v="9636"/>
    <x v="2"/>
    <x v="0"/>
    <x v="3"/>
  </r>
  <r>
    <s v="ORD00596"/>
    <s v="2025-10-04"/>
    <s v="CHOC0145"/>
    <s v="Almond Elegance"/>
    <x v="5"/>
    <n v="8.2799999999999994"/>
    <n v="472"/>
    <n v="3908.16"/>
    <n v="195.41"/>
    <n v="3712.75"/>
    <x v="0"/>
    <x v="2"/>
    <x v="2"/>
  </r>
  <r>
    <s v="ORD00597"/>
    <s v="2025-11-01"/>
    <s v="CHOC0148"/>
    <s v="Mocha Dream"/>
    <x v="1"/>
    <n v="4.5"/>
    <n v="613"/>
    <n v="2758.5"/>
    <n v="413.77"/>
    <n v="2344.73"/>
    <x v="3"/>
    <x v="1"/>
    <x v="3"/>
  </r>
  <r>
    <s v="ORD00598"/>
    <s v="2025-02-12"/>
    <s v="CHOC0122"/>
    <s v="Lava Bite"/>
    <x v="0"/>
    <n v="2.17"/>
    <n v="837"/>
    <n v="1816.29"/>
    <n v="181.63"/>
    <n v="1634.66"/>
    <x v="0"/>
    <x v="2"/>
    <x v="0"/>
  </r>
  <r>
    <s v="ORD00599"/>
    <s v="2025-08-11"/>
    <s v="CHOC0199"/>
    <s v="Almond Elegance"/>
    <x v="3"/>
    <n v="7.99"/>
    <n v="425"/>
    <n v="3395.75"/>
    <n v="509.36"/>
    <n v="2886.39"/>
    <x v="4"/>
    <x v="1"/>
    <x v="0"/>
  </r>
  <r>
    <s v="ORD00600"/>
    <s v="2025-11-12"/>
    <s v="CHOC0189"/>
    <s v="Mocha Dream"/>
    <x v="3"/>
    <n v="4.7699999999999996"/>
    <n v="565"/>
    <n v="2695.05"/>
    <n v="404.26"/>
    <n v="2290.79"/>
    <x v="2"/>
    <x v="0"/>
    <x v="5"/>
  </r>
  <r>
    <m/>
    <m/>
    <m/>
    <m/>
    <x v="6"/>
    <m/>
    <m/>
    <m/>
    <m/>
    <m/>
    <x v="5"/>
    <x v="4"/>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1A3EF2-2438-46DF-8B14-233EC03DFEB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s">
  <location ref="A3:B10" firstHeaderRow="1" firstDataRow="1" firstDataCol="1"/>
  <pivotFields count="13">
    <pivotField showAll="0"/>
    <pivotField showAll="0"/>
    <pivotField showAll="0"/>
    <pivotField showAll="0"/>
    <pivotField showAll="0">
      <items count="8">
        <item x="1"/>
        <item x="4"/>
        <item x="3"/>
        <item x="2"/>
        <item x="0"/>
        <item x="5"/>
        <item x="6"/>
        <item t="default"/>
      </items>
    </pivotField>
    <pivotField showAll="0"/>
    <pivotField showAll="0"/>
    <pivotField showAll="0"/>
    <pivotField showAll="0"/>
    <pivotField dataField="1" showAll="0"/>
    <pivotField axis="axisRow" showAll="0">
      <items count="7">
        <item x="1"/>
        <item x="2"/>
        <item x="0"/>
        <item x="3"/>
        <item x="4"/>
        <item x="5"/>
        <item t="default"/>
      </items>
    </pivotField>
    <pivotField showAll="0">
      <items count="6">
        <item x="3"/>
        <item x="1"/>
        <item x="0"/>
        <item x="2"/>
        <item x="4"/>
        <item t="default"/>
      </items>
    </pivotField>
    <pivotField showAll="0">
      <items count="8">
        <item x="5"/>
        <item x="0"/>
        <item x="1"/>
        <item x="3"/>
        <item x="4"/>
        <item x="2"/>
        <item x="6"/>
        <item t="default"/>
      </items>
    </pivotField>
  </pivotFields>
  <rowFields count="1">
    <field x="10"/>
  </rowFields>
  <rowItems count="7">
    <i>
      <x/>
    </i>
    <i>
      <x v="1"/>
    </i>
    <i>
      <x v="2"/>
    </i>
    <i>
      <x v="3"/>
    </i>
    <i>
      <x v="4"/>
    </i>
    <i>
      <x v="5"/>
    </i>
    <i t="grand">
      <x/>
    </i>
  </rowItems>
  <colItems count="1">
    <i/>
  </colItems>
  <dataFields count="1">
    <dataField name="Total Sales" fld="9" baseField="0" baseItem="0" numFmtId="44"/>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439BC6-8537-434E-939D-9C269AC8E19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colHeaderCaption="Channel">
  <location ref="A3:F10" firstHeaderRow="1" firstDataRow="2" firstDataCol="1"/>
  <pivotFields count="13">
    <pivotField showAll="0"/>
    <pivotField showAll="0"/>
    <pivotField showAll="0"/>
    <pivotField showAll="0"/>
    <pivotField showAll="0">
      <items count="8">
        <item x="1"/>
        <item x="4"/>
        <item x="3"/>
        <item x="2"/>
        <item x="0"/>
        <item x="5"/>
        <item x="6"/>
        <item t="default"/>
      </items>
    </pivotField>
    <pivotField showAll="0"/>
    <pivotField showAll="0"/>
    <pivotField showAll="0"/>
    <pivotField showAll="0"/>
    <pivotField dataField="1" showAll="0"/>
    <pivotField axis="axisRow" showAll="0">
      <items count="7">
        <item x="1"/>
        <item x="2"/>
        <item x="0"/>
        <item x="3"/>
        <item x="4"/>
        <item h="1" x="5"/>
        <item t="default"/>
      </items>
    </pivotField>
    <pivotField axis="axisCol" showAll="0">
      <items count="6">
        <item x="3"/>
        <item x="1"/>
        <item x="0"/>
        <item x="2"/>
        <item x="4"/>
        <item t="default"/>
      </items>
    </pivotField>
    <pivotField showAll="0">
      <items count="8">
        <item x="5"/>
        <item x="0"/>
        <item x="1"/>
        <item x="3"/>
        <item x="4"/>
        <item x="2"/>
        <item x="6"/>
        <item t="default"/>
      </items>
    </pivotField>
  </pivotFields>
  <rowFields count="1">
    <field x="10"/>
  </rowFields>
  <rowItems count="6">
    <i>
      <x/>
    </i>
    <i>
      <x v="1"/>
    </i>
    <i>
      <x v="2"/>
    </i>
    <i>
      <x v="3"/>
    </i>
    <i>
      <x v="4"/>
    </i>
    <i t="grand">
      <x/>
    </i>
  </rowItems>
  <colFields count="1">
    <field x="11"/>
  </colFields>
  <colItems count="5">
    <i>
      <x/>
    </i>
    <i>
      <x v="1"/>
    </i>
    <i>
      <x v="2"/>
    </i>
    <i>
      <x v="3"/>
    </i>
    <i t="grand">
      <x/>
    </i>
  </colItems>
  <dataFields count="1">
    <dataField name="Total Sales" fld="9" baseField="0" baseItem="0" numFmtId="44"/>
  </dataFields>
  <formats count="1">
    <format dxfId="12">
      <pivotArea outline="0" collapsedLevelsAreSubtotals="1" fieldPosition="0"/>
    </format>
  </format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2" format="8" series="1">
      <pivotArea type="data" outline="0" fieldPosition="0">
        <references count="2">
          <reference field="4294967294" count="1" selected="0">
            <x v="0"/>
          </reference>
          <reference field="11" count="1" selected="0">
            <x v="0"/>
          </reference>
        </references>
      </pivotArea>
    </chartFormat>
    <chartFormat chart="2" format="9" series="1">
      <pivotArea type="data" outline="0" fieldPosition="0">
        <references count="2">
          <reference field="4294967294" count="1" selected="0">
            <x v="0"/>
          </reference>
          <reference field="11" count="1" selected="0">
            <x v="1"/>
          </reference>
        </references>
      </pivotArea>
    </chartFormat>
    <chartFormat chart="2" format="10" series="1">
      <pivotArea type="data" outline="0" fieldPosition="0">
        <references count="2">
          <reference field="4294967294" count="1" selected="0">
            <x v="0"/>
          </reference>
          <reference field="11" count="1" selected="0">
            <x v="2"/>
          </reference>
        </references>
      </pivotArea>
    </chartFormat>
    <chartFormat chart="2" format="11" series="1">
      <pivotArea type="data" outline="0" fieldPosition="0">
        <references count="2">
          <reference field="4294967294" count="1" selected="0">
            <x v="0"/>
          </reference>
          <reference field="11"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37B9C3-CA9D-4DBF-890F-3FC4BE36DD7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3:B11" firstHeaderRow="1" firstDataRow="1" firstDataCol="1"/>
  <pivotFields count="13">
    <pivotField showAll="0"/>
    <pivotField showAll="0"/>
    <pivotField showAll="0"/>
    <pivotField showAll="0"/>
    <pivotField axis="axisRow" showAll="0">
      <items count="8">
        <item x="1"/>
        <item x="4"/>
        <item x="3"/>
        <item x="2"/>
        <item x="0"/>
        <item x="5"/>
        <item x="6"/>
        <item t="default"/>
      </items>
    </pivotField>
    <pivotField showAll="0"/>
    <pivotField showAll="0"/>
    <pivotField showAll="0"/>
    <pivotField showAll="0"/>
    <pivotField dataField="1" showAll="0"/>
    <pivotField showAll="0"/>
    <pivotField showAll="0">
      <items count="6">
        <item x="3"/>
        <item x="1"/>
        <item x="0"/>
        <item x="2"/>
        <item x="4"/>
        <item t="default"/>
      </items>
    </pivotField>
    <pivotField showAll="0">
      <items count="8">
        <item x="5"/>
        <item x="0"/>
        <item x="1"/>
        <item x="3"/>
        <item x="4"/>
        <item x="2"/>
        <item x="6"/>
        <item t="default"/>
      </items>
    </pivotField>
  </pivotFields>
  <rowFields count="1">
    <field x="4"/>
  </rowFields>
  <rowItems count="8">
    <i>
      <x/>
    </i>
    <i>
      <x v="1"/>
    </i>
    <i>
      <x v="2"/>
    </i>
    <i>
      <x v="3"/>
    </i>
    <i>
      <x v="4"/>
    </i>
    <i>
      <x v="5"/>
    </i>
    <i>
      <x v="6"/>
    </i>
    <i t="grand">
      <x/>
    </i>
  </rowItems>
  <colItems count="1">
    <i/>
  </colItems>
  <dataFields count="1">
    <dataField name="Total Sales" fld="9" baseField="0" baseItem="0" numFmtId="44"/>
  </dataFields>
  <formats count="1">
    <format dxfId="11">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 chart="4" format="12">
      <pivotArea type="data" outline="0" fieldPosition="0">
        <references count="2">
          <reference field="4294967294" count="1" selected="0">
            <x v="0"/>
          </reference>
          <reference field="4" count="1" selected="0">
            <x v="3"/>
          </reference>
        </references>
      </pivotArea>
    </chartFormat>
    <chartFormat chart="4" format="13">
      <pivotArea type="data" outline="0" fieldPosition="0">
        <references count="2">
          <reference field="4294967294" count="1" selected="0">
            <x v="0"/>
          </reference>
          <reference field="4" count="1" selected="0">
            <x v="4"/>
          </reference>
        </references>
      </pivotArea>
    </chartFormat>
    <chartFormat chart="4" format="14">
      <pivotArea type="data" outline="0" fieldPosition="0">
        <references count="2">
          <reference field="4294967294" count="1" selected="0">
            <x v="0"/>
          </reference>
          <reference field="4" count="1" selected="0">
            <x v="5"/>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4" format="15">
      <pivotArea type="data" outline="0" fieldPosition="0">
        <references count="2">
          <reference field="4294967294" count="1" selected="0">
            <x v="0"/>
          </reference>
          <reference field="4" count="1" selected="0">
            <x v="6"/>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54DAE-4E81-407D-9601-458D5D2B4E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A3:B16" firstHeaderRow="1" firstDataRow="1" firstDataCol="1"/>
  <pivotFields count="15">
    <pivotField showAll="0"/>
    <pivotField axis="axisRow" showAll="0">
      <items count="300">
        <item x="294"/>
        <item x="24"/>
        <item x="200"/>
        <item x="280"/>
        <item x="292"/>
        <item x="12"/>
        <item x="269"/>
        <item x="83"/>
        <item x="65"/>
        <item x="288"/>
        <item x="152"/>
        <item x="57"/>
        <item x="194"/>
        <item x="8"/>
        <item x="285"/>
        <item x="89"/>
        <item x="167"/>
        <item x="119"/>
        <item x="137"/>
        <item x="265"/>
        <item x="153"/>
        <item x="32"/>
        <item x="214"/>
        <item x="146"/>
        <item x="240"/>
        <item x="100"/>
        <item x="272"/>
        <item x="20"/>
        <item x="5"/>
        <item x="273"/>
        <item x="145"/>
        <item x="207"/>
        <item x="211"/>
        <item x="4"/>
        <item x="27"/>
        <item x="297"/>
        <item x="230"/>
        <item x="76"/>
        <item x="210"/>
        <item x="3"/>
        <item x="90"/>
        <item x="204"/>
        <item x="14"/>
        <item x="226"/>
        <item x="106"/>
        <item x="73"/>
        <item x="202"/>
        <item x="98"/>
        <item x="104"/>
        <item x="281"/>
        <item x="118"/>
        <item x="203"/>
        <item x="141"/>
        <item x="113"/>
        <item x="140"/>
        <item x="132"/>
        <item x="123"/>
        <item x="55"/>
        <item x="128"/>
        <item x="114"/>
        <item x="11"/>
        <item x="36"/>
        <item x="56"/>
        <item x="44"/>
        <item x="238"/>
        <item x="248"/>
        <item x="43"/>
        <item x="233"/>
        <item x="39"/>
        <item x="112"/>
        <item x="259"/>
        <item x="181"/>
        <item x="139"/>
        <item x="232"/>
        <item x="64"/>
        <item x="246"/>
        <item x="253"/>
        <item x="264"/>
        <item x="254"/>
        <item x="164"/>
        <item x="149"/>
        <item x="177"/>
        <item x="161"/>
        <item x="268"/>
        <item x="63"/>
        <item x="67"/>
        <item x="25"/>
        <item x="53"/>
        <item x="263"/>
        <item x="54"/>
        <item x="97"/>
        <item x="68"/>
        <item x="94"/>
        <item x="277"/>
        <item x="99"/>
        <item x="171"/>
        <item x="23"/>
        <item x="50"/>
        <item x="16"/>
        <item x="191"/>
        <item x="7"/>
        <item x="124"/>
        <item x="71"/>
        <item x="279"/>
        <item x="136"/>
        <item x="109"/>
        <item x="96"/>
        <item x="241"/>
        <item x="236"/>
        <item x="278"/>
        <item x="28"/>
        <item x="116"/>
        <item x="195"/>
        <item x="38"/>
        <item x="155"/>
        <item x="31"/>
        <item x="147"/>
        <item x="270"/>
        <item x="133"/>
        <item x="163"/>
        <item x="222"/>
        <item x="91"/>
        <item x="293"/>
        <item x="228"/>
        <item x="101"/>
        <item x="66"/>
        <item x="74"/>
        <item x="45"/>
        <item x="18"/>
        <item x="185"/>
        <item x="193"/>
        <item x="215"/>
        <item x="206"/>
        <item x="173"/>
        <item x="105"/>
        <item x="51"/>
        <item x="157"/>
        <item x="252"/>
        <item x="19"/>
        <item x="85"/>
        <item x="162"/>
        <item x="180"/>
        <item x="78"/>
        <item x="37"/>
        <item x="188"/>
        <item x="289"/>
        <item x="231"/>
        <item x="219"/>
        <item x="81"/>
        <item x="130"/>
        <item x="156"/>
        <item x="212"/>
        <item x="150"/>
        <item x="221"/>
        <item x="234"/>
        <item x="129"/>
        <item x="174"/>
        <item x="52"/>
        <item x="87"/>
        <item x="92"/>
        <item x="125"/>
        <item x="284"/>
        <item x="158"/>
        <item x="93"/>
        <item x="283"/>
        <item x="10"/>
        <item x="170"/>
        <item x="80"/>
        <item x="120"/>
        <item x="42"/>
        <item x="205"/>
        <item x="108"/>
        <item x="46"/>
        <item x="245"/>
        <item x="160"/>
        <item x="258"/>
        <item x="1"/>
        <item x="229"/>
        <item x="208"/>
        <item x="41"/>
        <item x="60"/>
        <item x="13"/>
        <item x="61"/>
        <item x="82"/>
        <item x="196"/>
        <item x="33"/>
        <item x="143"/>
        <item x="49"/>
        <item x="282"/>
        <item x="287"/>
        <item x="227"/>
        <item x="6"/>
        <item x="256"/>
        <item x="296"/>
        <item x="260"/>
        <item x="22"/>
        <item x="62"/>
        <item x="77"/>
        <item x="165"/>
        <item x="244"/>
        <item x="26"/>
        <item x="69"/>
        <item x="86"/>
        <item x="209"/>
        <item x="255"/>
        <item x="295"/>
        <item x="70"/>
        <item x="79"/>
        <item x="197"/>
        <item x="190"/>
        <item x="107"/>
        <item x="111"/>
        <item x="220"/>
        <item x="40"/>
        <item x="184"/>
        <item x="138"/>
        <item x="249"/>
        <item x="286"/>
        <item x="225"/>
        <item x="218"/>
        <item x="88"/>
        <item x="131"/>
        <item x="15"/>
        <item x="59"/>
        <item x="148"/>
        <item x="175"/>
        <item x="75"/>
        <item x="168"/>
        <item x="223"/>
        <item x="187"/>
        <item x="84"/>
        <item x="30"/>
        <item x="271"/>
        <item x="48"/>
        <item x="127"/>
        <item x="182"/>
        <item x="121"/>
        <item x="276"/>
        <item x="192"/>
        <item x="154"/>
        <item x="21"/>
        <item x="275"/>
        <item x="178"/>
        <item x="151"/>
        <item x="266"/>
        <item x="122"/>
        <item x="34"/>
        <item x="186"/>
        <item x="216"/>
        <item x="243"/>
        <item x="237"/>
        <item x="134"/>
        <item x="198"/>
        <item x="235"/>
        <item x="267"/>
        <item x="142"/>
        <item x="135"/>
        <item x="103"/>
        <item x="115"/>
        <item x="262"/>
        <item x="29"/>
        <item x="257"/>
        <item x="72"/>
        <item x="274"/>
        <item x="290"/>
        <item x="291"/>
        <item x="0"/>
        <item x="9"/>
        <item x="95"/>
        <item x="183"/>
        <item x="2"/>
        <item x="166"/>
        <item x="261"/>
        <item x="47"/>
        <item x="251"/>
        <item x="17"/>
        <item x="179"/>
        <item x="126"/>
        <item x="110"/>
        <item x="117"/>
        <item x="189"/>
        <item x="102"/>
        <item x="176"/>
        <item x="169"/>
        <item x="159"/>
        <item x="35"/>
        <item x="213"/>
        <item x="247"/>
        <item x="58"/>
        <item x="224"/>
        <item x="239"/>
        <item x="242"/>
        <item x="199"/>
        <item x="172"/>
        <item x="201"/>
        <item x="250"/>
        <item x="144"/>
        <item x="217"/>
        <item h="1" x="298"/>
        <item t="default"/>
      </items>
    </pivotField>
    <pivotField showAll="0"/>
    <pivotField showAll="0"/>
    <pivotField showAll="0"/>
    <pivotField showAll="0"/>
    <pivotField showAll="0"/>
    <pivotField showAll="0"/>
    <pivotField showAll="0"/>
    <pivotField dataField="1" showAll="0"/>
    <pivotField showAll="0">
      <items count="7">
        <item x="1"/>
        <item x="2"/>
        <item x="0"/>
        <item x="3"/>
        <item x="4"/>
        <item x="5"/>
        <item t="default"/>
      </items>
    </pivotField>
    <pivotField showAll="0"/>
    <pivotField showAll="0"/>
    <pivotField axis="axisRow" showAll="0">
      <items count="14">
        <item sd="0" x="4"/>
        <item sd="0" x="2"/>
        <item sd="0" x="6"/>
        <item sd="0" x="11"/>
        <item sd="0" x="3"/>
        <item sd="0" x="9"/>
        <item sd="0" x="5"/>
        <item sd="0" x="1"/>
        <item sd="0" x="7"/>
        <item sd="0" x="10"/>
        <item sd="0" x="0"/>
        <item sd="0" x="8"/>
        <item sd="0" x="12"/>
        <item t="default" sd="0"/>
      </items>
    </pivotField>
    <pivotField showAll="0">
      <items count="14">
        <item n="January" sd="0" x="1"/>
        <item n="February" sd="0" x="2"/>
        <item n="March" sd="0" x="3"/>
        <item n="April" sd="0" x="4"/>
        <item n="May" sd="0" x="5"/>
        <item n="June" sd="0" x="6"/>
        <item n="July" sd="0" x="7"/>
        <item n="August" sd="0" x="8"/>
        <item n="September" sd="0" x="9"/>
        <item n="October" sd="0" x="10"/>
        <item n="November" sd="0" x="11"/>
        <item n="December" sd="0" x="12"/>
        <item h="1" x="0"/>
        <item t="default"/>
      </items>
    </pivotField>
  </pivotFields>
  <rowFields count="2">
    <field x="13"/>
    <field x="1"/>
  </rowFields>
  <rowItems count="13">
    <i>
      <x/>
    </i>
    <i>
      <x v="1"/>
    </i>
    <i>
      <x v="2"/>
    </i>
    <i>
      <x v="3"/>
    </i>
    <i>
      <x v="4"/>
    </i>
    <i>
      <x v="5"/>
    </i>
    <i>
      <x v="6"/>
    </i>
    <i>
      <x v="7"/>
    </i>
    <i>
      <x v="8"/>
    </i>
    <i>
      <x v="9"/>
    </i>
    <i>
      <x v="10"/>
    </i>
    <i>
      <x v="11"/>
    </i>
    <i t="grand">
      <x/>
    </i>
  </rowItems>
  <colItems count="1">
    <i/>
  </colItems>
  <dataFields count="1">
    <dataField name="Total Sales" fld="9" baseField="0" baseItem="0" numFmtId="44"/>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602AD0-62A3-412D-B3F4-166169F0C9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colHeaderCaption="Regions">
  <location ref="A3:G11" firstHeaderRow="1" firstDataRow="2" firstDataCol="1"/>
  <pivotFields count="15">
    <pivotField showAll="0"/>
    <pivotField showAll="0">
      <items count="300">
        <item x="294"/>
        <item x="24"/>
        <item x="200"/>
        <item x="280"/>
        <item x="292"/>
        <item x="12"/>
        <item x="269"/>
        <item x="83"/>
        <item x="65"/>
        <item x="288"/>
        <item x="152"/>
        <item x="57"/>
        <item x="194"/>
        <item x="8"/>
        <item x="285"/>
        <item x="89"/>
        <item x="167"/>
        <item x="119"/>
        <item x="137"/>
        <item x="265"/>
        <item x="153"/>
        <item x="32"/>
        <item x="214"/>
        <item x="146"/>
        <item x="240"/>
        <item x="100"/>
        <item x="272"/>
        <item x="20"/>
        <item x="5"/>
        <item x="273"/>
        <item x="145"/>
        <item x="207"/>
        <item x="211"/>
        <item x="4"/>
        <item x="27"/>
        <item x="297"/>
        <item x="230"/>
        <item x="76"/>
        <item x="210"/>
        <item x="3"/>
        <item x="90"/>
        <item x="204"/>
        <item x="14"/>
        <item x="226"/>
        <item x="106"/>
        <item x="73"/>
        <item x="202"/>
        <item x="98"/>
        <item x="104"/>
        <item x="281"/>
        <item x="118"/>
        <item x="203"/>
        <item x="141"/>
        <item x="113"/>
        <item x="140"/>
        <item x="132"/>
        <item x="123"/>
        <item x="55"/>
        <item x="128"/>
        <item x="114"/>
        <item x="11"/>
        <item x="36"/>
        <item x="56"/>
        <item x="44"/>
        <item x="238"/>
        <item x="248"/>
        <item x="43"/>
        <item x="233"/>
        <item x="39"/>
        <item x="112"/>
        <item x="259"/>
        <item x="181"/>
        <item x="139"/>
        <item x="232"/>
        <item x="64"/>
        <item x="246"/>
        <item x="253"/>
        <item x="264"/>
        <item x="254"/>
        <item x="164"/>
        <item x="149"/>
        <item x="177"/>
        <item x="161"/>
        <item x="268"/>
        <item x="63"/>
        <item x="67"/>
        <item x="25"/>
        <item x="53"/>
        <item x="263"/>
        <item x="54"/>
        <item x="97"/>
        <item x="68"/>
        <item x="94"/>
        <item x="277"/>
        <item x="99"/>
        <item x="171"/>
        <item x="23"/>
        <item x="50"/>
        <item x="16"/>
        <item x="191"/>
        <item x="7"/>
        <item x="124"/>
        <item x="71"/>
        <item x="279"/>
        <item x="136"/>
        <item x="109"/>
        <item x="96"/>
        <item x="241"/>
        <item x="236"/>
        <item x="278"/>
        <item x="28"/>
        <item x="116"/>
        <item x="195"/>
        <item x="38"/>
        <item x="155"/>
        <item x="31"/>
        <item x="147"/>
        <item x="270"/>
        <item x="133"/>
        <item x="163"/>
        <item x="222"/>
        <item x="91"/>
        <item x="293"/>
        <item x="228"/>
        <item x="101"/>
        <item x="66"/>
        <item x="74"/>
        <item x="45"/>
        <item x="18"/>
        <item x="185"/>
        <item x="193"/>
        <item x="215"/>
        <item x="206"/>
        <item x="173"/>
        <item x="105"/>
        <item x="51"/>
        <item x="157"/>
        <item x="252"/>
        <item x="19"/>
        <item x="85"/>
        <item x="162"/>
        <item x="180"/>
        <item x="78"/>
        <item x="37"/>
        <item x="188"/>
        <item x="289"/>
        <item x="231"/>
        <item x="219"/>
        <item x="81"/>
        <item x="130"/>
        <item x="156"/>
        <item x="212"/>
        <item x="150"/>
        <item x="221"/>
        <item x="234"/>
        <item x="129"/>
        <item x="174"/>
        <item x="52"/>
        <item x="87"/>
        <item x="92"/>
        <item x="125"/>
        <item x="284"/>
        <item x="158"/>
        <item x="93"/>
        <item x="283"/>
        <item x="10"/>
        <item x="170"/>
        <item x="80"/>
        <item x="120"/>
        <item x="42"/>
        <item x="205"/>
        <item x="108"/>
        <item x="46"/>
        <item x="245"/>
        <item x="160"/>
        <item x="258"/>
        <item x="1"/>
        <item x="229"/>
        <item x="208"/>
        <item x="41"/>
        <item x="60"/>
        <item x="13"/>
        <item x="61"/>
        <item x="82"/>
        <item x="196"/>
        <item x="33"/>
        <item x="143"/>
        <item x="49"/>
        <item x="282"/>
        <item x="287"/>
        <item x="227"/>
        <item x="6"/>
        <item x="256"/>
        <item x="296"/>
        <item x="260"/>
        <item x="22"/>
        <item x="62"/>
        <item x="77"/>
        <item x="165"/>
        <item x="244"/>
        <item x="26"/>
        <item x="69"/>
        <item x="86"/>
        <item x="209"/>
        <item x="255"/>
        <item x="295"/>
        <item x="70"/>
        <item x="79"/>
        <item x="197"/>
        <item x="190"/>
        <item x="107"/>
        <item x="111"/>
        <item x="220"/>
        <item x="40"/>
        <item x="184"/>
        <item x="138"/>
        <item x="249"/>
        <item x="286"/>
        <item x="225"/>
        <item x="218"/>
        <item x="88"/>
        <item x="131"/>
        <item x="15"/>
        <item x="59"/>
        <item x="148"/>
        <item x="175"/>
        <item x="75"/>
        <item x="168"/>
        <item x="223"/>
        <item x="187"/>
        <item x="84"/>
        <item x="30"/>
        <item x="271"/>
        <item x="48"/>
        <item x="127"/>
        <item x="182"/>
        <item x="121"/>
        <item x="276"/>
        <item x="192"/>
        <item x="154"/>
        <item x="21"/>
        <item x="275"/>
        <item x="178"/>
        <item x="151"/>
        <item x="266"/>
        <item x="122"/>
        <item x="34"/>
        <item x="186"/>
        <item x="216"/>
        <item x="243"/>
        <item x="237"/>
        <item x="134"/>
        <item x="198"/>
        <item x="235"/>
        <item x="267"/>
        <item x="142"/>
        <item x="135"/>
        <item x="103"/>
        <item x="115"/>
        <item x="262"/>
        <item x="29"/>
        <item x="257"/>
        <item x="72"/>
        <item x="274"/>
        <item x="290"/>
        <item x="291"/>
        <item x="0"/>
        <item x="9"/>
        <item x="95"/>
        <item x="183"/>
        <item x="2"/>
        <item x="166"/>
        <item x="261"/>
        <item x="47"/>
        <item x="251"/>
        <item x="17"/>
        <item x="179"/>
        <item x="126"/>
        <item x="110"/>
        <item x="117"/>
        <item x="189"/>
        <item x="102"/>
        <item x="176"/>
        <item x="169"/>
        <item x="159"/>
        <item x="35"/>
        <item x="213"/>
        <item x="247"/>
        <item x="58"/>
        <item x="224"/>
        <item x="239"/>
        <item x="242"/>
        <item x="199"/>
        <item x="172"/>
        <item x="201"/>
        <item x="250"/>
        <item x="144"/>
        <item x="217"/>
        <item x="298"/>
        <item t="default"/>
      </items>
    </pivotField>
    <pivotField showAll="0"/>
    <pivotField showAll="0"/>
    <pivotField axis="axisRow" showAll="0">
      <items count="8">
        <item x="1"/>
        <item x="4"/>
        <item x="3"/>
        <item x="2"/>
        <item x="0"/>
        <item x="5"/>
        <item h="1" x="6"/>
        <item t="default"/>
      </items>
    </pivotField>
    <pivotField showAll="0"/>
    <pivotField showAll="0"/>
    <pivotField showAll="0"/>
    <pivotField showAll="0"/>
    <pivotField dataField="1" showAll="0"/>
    <pivotField axis="axisCol" showAll="0">
      <items count="7">
        <item x="1"/>
        <item x="2"/>
        <item x="0"/>
        <item x="3"/>
        <item x="4"/>
        <item x="5"/>
        <item t="default"/>
      </items>
    </pivotField>
    <pivotField showAll="0"/>
    <pivotField showAll="0"/>
    <pivotField showAll="0">
      <items count="14">
        <item x="4"/>
        <item x="2"/>
        <item x="6"/>
        <item x="11"/>
        <item x="3"/>
        <item x="9"/>
        <item x="5"/>
        <item x="1"/>
        <item x="7"/>
        <item x="10"/>
        <item x="0"/>
        <item x="8"/>
        <item x="12"/>
        <item t="default"/>
      </items>
    </pivotField>
    <pivotField showAll="0">
      <items count="14">
        <item x="1"/>
        <item x="2"/>
        <item x="3"/>
        <item x="4"/>
        <item x="5"/>
        <item x="6"/>
        <item x="7"/>
        <item x="8"/>
        <item x="9"/>
        <item x="10"/>
        <item x="11"/>
        <item x="12"/>
        <item x="0"/>
        <item t="default"/>
      </items>
    </pivotField>
  </pivotFields>
  <rowFields count="1">
    <field x="4"/>
  </rowFields>
  <rowItems count="7">
    <i>
      <x/>
    </i>
    <i>
      <x v="1"/>
    </i>
    <i>
      <x v="2"/>
    </i>
    <i>
      <x v="3"/>
    </i>
    <i>
      <x v="4"/>
    </i>
    <i>
      <x v="5"/>
    </i>
    <i t="grand">
      <x/>
    </i>
  </rowItems>
  <colFields count="1">
    <field x="10"/>
  </colFields>
  <colItems count="6">
    <i>
      <x/>
    </i>
    <i>
      <x v="1"/>
    </i>
    <i>
      <x v="2"/>
    </i>
    <i>
      <x v="3"/>
    </i>
    <i>
      <x v="4"/>
    </i>
    <i t="grand">
      <x/>
    </i>
  </colItems>
  <dataFields count="1">
    <dataField name="Total Sales" fld="9" baseField="0" baseItem="0" numFmtId="44"/>
  </dataFields>
  <formats count="1">
    <format dxfId="9">
      <pivotArea outline="0" collapsedLevelsAreSubtotals="1" fieldPosition="0"/>
    </format>
  </formats>
  <chartFormats count="1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5" format="3" series="1">
      <pivotArea type="data" outline="0" fieldPosition="0">
        <references count="2">
          <reference field="4294967294" count="1" selected="0">
            <x v="0"/>
          </reference>
          <reference field="10" count="1" selected="0">
            <x v="0"/>
          </reference>
        </references>
      </pivotArea>
    </chartFormat>
    <chartFormat chart="5" format="4" series="1">
      <pivotArea type="data" outline="0" fieldPosition="0">
        <references count="2">
          <reference field="4294967294" count="1" selected="0">
            <x v="0"/>
          </reference>
          <reference field="10" count="1" selected="0">
            <x v="1"/>
          </reference>
        </references>
      </pivotArea>
    </chartFormat>
    <chartFormat chart="5" format="5" series="1">
      <pivotArea type="data" outline="0" fieldPosition="0">
        <references count="2">
          <reference field="4294967294" count="1" selected="0">
            <x v="0"/>
          </reference>
          <reference field="10" count="1" selected="0">
            <x v="2"/>
          </reference>
        </references>
      </pivotArea>
    </chartFormat>
    <chartFormat chart="5" format="6" series="1">
      <pivotArea type="data" outline="0" fieldPosition="0">
        <references count="2">
          <reference field="4294967294" count="1" selected="0">
            <x v="0"/>
          </reference>
          <reference field="10" count="1" selected="0">
            <x v="3"/>
          </reference>
        </references>
      </pivotArea>
    </chartFormat>
    <chartFormat chart="5" format="7" series="1">
      <pivotArea type="data" outline="0" fieldPosition="0">
        <references count="2">
          <reference field="4294967294" count="1" selected="0">
            <x v="0"/>
          </reference>
          <reference field="10" count="1" selected="0">
            <x v="4"/>
          </reference>
        </references>
      </pivotArea>
    </chartFormat>
    <chartFormat chart="9" format="10" series="1">
      <pivotArea type="data" outline="0" fieldPosition="0">
        <references count="2">
          <reference field="4294967294" count="1" selected="0">
            <x v="0"/>
          </reference>
          <reference field="10" count="1" selected="0">
            <x v="0"/>
          </reference>
        </references>
      </pivotArea>
    </chartFormat>
    <chartFormat chart="9" format="11" series="1">
      <pivotArea type="data" outline="0" fieldPosition="0">
        <references count="2">
          <reference field="4294967294" count="1" selected="0">
            <x v="0"/>
          </reference>
          <reference field="10" count="1" selected="0">
            <x v="1"/>
          </reference>
        </references>
      </pivotArea>
    </chartFormat>
    <chartFormat chart="9" format="12" series="1">
      <pivotArea type="data" outline="0" fieldPosition="0">
        <references count="2">
          <reference field="4294967294" count="1" selected="0">
            <x v="0"/>
          </reference>
          <reference field="10" count="1" selected="0">
            <x v="2"/>
          </reference>
        </references>
      </pivotArea>
    </chartFormat>
    <chartFormat chart="9" format="13" series="1">
      <pivotArea type="data" outline="0" fieldPosition="0">
        <references count="2">
          <reference field="4294967294" count="1" selected="0">
            <x v="0"/>
          </reference>
          <reference field="10" count="1" selected="0">
            <x v="3"/>
          </reference>
        </references>
      </pivotArea>
    </chartFormat>
    <chartFormat chart="9"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47EC6C-28AA-4F29-A435-2F30E4576BF3}" sourceName="Category">
  <pivotTables>
    <pivotTable tabId="3" name="PivotTable2"/>
    <pivotTable tabId="4" name="PivotTable3"/>
    <pivotTable tabId="2" name="PivotTable1"/>
  </pivotTables>
  <data>
    <tabular pivotCacheId="1066071415">
      <items count="7">
        <i x="1" s="1"/>
        <i x="4" s="1"/>
        <i x="3" s="1"/>
        <i x="2" s="1"/>
        <i x="0"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CB373EA-03DE-418F-A2BE-8E53DE44CBAE}" sourceName="Channel">
  <pivotTables>
    <pivotTable tabId="3" name="PivotTable2"/>
    <pivotTable tabId="4" name="PivotTable3"/>
    <pivotTable tabId="2" name="PivotTable1"/>
  </pivotTables>
  <data>
    <tabular pivotCacheId="1066071415">
      <items count="5">
        <i x="3" s="1"/>
        <i x="1" s="1"/>
        <i x="0" s="1"/>
        <i x="2"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11DD40-F9FF-4620-A2A5-369E27926118}" sourceName="Region">
  <pivotTables>
    <pivotTable tabId="2" name="PivotTable1"/>
  </pivotTables>
  <data>
    <tabular pivotCacheId="1066071415">
      <items count="6">
        <i x="1" s="1"/>
        <i x="2" s="1"/>
        <i x="0" s="1"/>
        <i x="3"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B8E26B7-5674-4A6F-998E-F75EE4F10A84}" sourceName="Month">
  <pivotTables>
    <pivotTable tabId="6" name="PivotTable5"/>
    <pivotTable tabId="7" name="PivotTable6"/>
  </pivotTables>
  <data>
    <tabular pivotCacheId="278215393">
      <items count="13">
        <i x="4" s="1"/>
        <i x="2" s="1"/>
        <i x="6" s="1"/>
        <i x="11" s="1"/>
        <i x="3" s="1"/>
        <i x="9" s="1"/>
        <i x="5" s="1"/>
        <i x="1" s="1"/>
        <i x="7" s="1"/>
        <i x="10" s="1"/>
        <i x="0" s="1"/>
        <i x="8" s="1"/>
        <i x="1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F5BCE79-3FC8-434D-8320-AA5EC409E4FC}" sourceName="Region">
  <pivotTables>
    <pivotTable tabId="7" name="PivotTable6"/>
    <pivotTable tabId="6" name="PivotTable5"/>
  </pivotTables>
  <data>
    <tabular pivotCacheId="278215393">
      <items count="6">
        <i x="1" s="1"/>
        <i x="2" s="1"/>
        <i x="0" s="1"/>
        <i x="3"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54E346F-393C-4425-A7B7-3C0A5EFE3068}" cache="Slicer_Region" caption="Region"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A0A26CE-B4DE-4BD8-8345-01D9CD2F9DD4}" cache="Slicer_Category" caption="Category" style="SlicerStyleLight3" rowHeight="234950"/>
  <slicer name="Channel" xr10:uid="{04675C85-5DF1-4C9C-B1AE-C51D676B0133}" cache="Slicer_Channel" caption="Channel"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05DCF63-E215-453D-8631-99A450DE512D}" cache="Slicer_Month" caption="Month" style="SlicerStyleLight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DF6B24-9F10-4821-B4EB-71FFF300DC57}" cache="Slicer_Region1" caption="Region" style="SlicerStyleLight3"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5BD0AD4-101B-4A75-AD9F-4C5A722C672B}" cache="Slicer_Category" caption="Category" style="SlicerStyleLight2" rowHeight="234950"/>
  <slicer name="Channel 1" xr10:uid="{93240F51-8B50-40BA-BCD3-BC404DB9AF2F}" cache="Slicer_Channel" caption="Channel" style="SlicerStyleLight2" rowHeight="234950"/>
  <slicer name="Month 1" xr10:uid="{248F3407-6D5D-4A1B-A445-93DD364CBB19}" cache="Slicer_Month" caption="Month" style="SlicerStyleLight2" rowHeight="234950"/>
  <slicer name="Region 2" xr10:uid="{35012F07-E88B-4A26-A688-C410D95617F2}" cache="Slicer_Region1" caption="Region"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F588B-DD90-4C77-B4C9-046D6D6DD6EB}" name="Table1" displayName="Table1" ref="A1:N601" totalsRowShown="0" headerRowDxfId="18">
  <autoFilter ref="A1:N601" xr:uid="{0BEF588B-DD90-4C77-B4C9-046D6D6DD6EB}"/>
  <tableColumns count="14">
    <tableColumn id="1" xr3:uid="{C59C92AE-9C0C-4A47-8E49-F29656A9B067}" name="Order_ID"/>
    <tableColumn id="2" xr3:uid="{38D903AF-598E-45DC-A451-795696DBE86E}" name="Order_Date"/>
    <tableColumn id="3" xr3:uid="{84B36538-690C-4FDA-B545-DA193606E2AF}" name="Product_ID"/>
    <tableColumn id="4" xr3:uid="{2A3AAAE5-43F0-462C-BBD2-C7A54CA0A22D}" name="Chocolate_Name"/>
    <tableColumn id="5" xr3:uid="{A996B006-113F-446E-BB46-4A8E572597CE}" name="Category"/>
    <tableColumn id="6" xr3:uid="{8D01AB47-869A-4D27-9BE4-8A5B405EE9B1}" name="Unit_Price" dataDxfId="17"/>
    <tableColumn id="7" xr3:uid="{99C4574C-EF1C-4106-AB83-3578B12505A4}" name="Units_Sold"/>
    <tableColumn id="8" xr3:uid="{013DFDC3-7F6A-4B01-91C6-AC46AF2B8F5D}" name="Gross_Sales" dataDxfId="16">
      <calculatedColumnFormula>F2*G2</calculatedColumnFormula>
    </tableColumn>
    <tableColumn id="9" xr3:uid="{2E7610CD-64B2-4C39-976D-B5B71F187F4B}" name="Discount" dataDxfId="15"/>
    <tableColumn id="10" xr3:uid="{D190BCD9-7830-4F09-8848-6B91A9D46308}" name="Sales" dataDxfId="14"/>
    <tableColumn id="11" xr3:uid="{EB301A63-79D1-4EC0-8F5A-A9D6D0F7D2AF}" name="Region"/>
    <tableColumn id="12" xr3:uid="{03D55C49-DD93-4548-BD83-5EA331EF6983}" name="Channel"/>
    <tableColumn id="13" xr3:uid="{F3784219-1EB4-49E4-8B8B-F78E565910C8}" name="Sales_Rep"/>
    <tableColumn id="14" xr3:uid="{E4FC1195-8E47-4248-AF00-8A69FFB76C44}" name="Month">
      <calculatedColumnFormula>TEXT(B2,"mmm")</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01"/>
  <sheetViews>
    <sheetView workbookViewId="0">
      <pane ySplit="1" topLeftCell="A2" activePane="bottomLeft" state="frozen"/>
      <selection pane="bottomLeft" activeCell="O1" sqref="O1"/>
    </sheetView>
  </sheetViews>
  <sheetFormatPr defaultRowHeight="14.4" x14ac:dyDescent="0.3"/>
  <cols>
    <col min="1" max="1" width="11.5546875" customWidth="1"/>
    <col min="2" max="2" width="12.5546875" customWidth="1"/>
    <col min="3" max="3" width="12.33203125" customWidth="1"/>
    <col min="4" max="4" width="17.33203125" customWidth="1"/>
    <col min="5" max="5" width="10.44140625" customWidth="1"/>
    <col min="6" max="6" width="12.44140625" style="3" customWidth="1"/>
    <col min="7" max="7" width="11.88671875" customWidth="1"/>
    <col min="8" max="8" width="14.109375" style="3" customWidth="1"/>
    <col min="9" max="9" width="15.44140625" style="3" customWidth="1"/>
    <col min="10" max="10" width="13.88671875" style="3" customWidth="1"/>
    <col min="11" max="11" width="10.77734375" customWidth="1"/>
    <col min="12" max="12" width="12.6640625" customWidth="1"/>
    <col min="13" max="13" width="11.6640625" customWidth="1"/>
    <col min="15" max="15" width="10.33203125" bestFit="1" customWidth="1"/>
  </cols>
  <sheetData>
    <row r="1" spans="1:15" x14ac:dyDescent="0.3">
      <c r="A1" s="1" t="s">
        <v>0</v>
      </c>
      <c r="B1" s="1" t="s">
        <v>1</v>
      </c>
      <c r="C1" s="1" t="s">
        <v>2</v>
      </c>
      <c r="D1" s="1" t="s">
        <v>3</v>
      </c>
      <c r="E1" s="1" t="s">
        <v>4</v>
      </c>
      <c r="F1" s="2" t="s">
        <v>5</v>
      </c>
      <c r="G1" s="1" t="s">
        <v>6</v>
      </c>
      <c r="H1" s="2" t="s">
        <v>7</v>
      </c>
      <c r="I1" s="2" t="s">
        <v>8</v>
      </c>
      <c r="J1" s="2" t="s">
        <v>9</v>
      </c>
      <c r="K1" s="1" t="s">
        <v>10</v>
      </c>
      <c r="L1" s="1" t="s">
        <v>11</v>
      </c>
      <c r="M1" s="1" t="s">
        <v>12</v>
      </c>
      <c r="N1" s="1" t="s">
        <v>1149</v>
      </c>
    </row>
    <row r="2" spans="1:15" x14ac:dyDescent="0.3">
      <c r="A2" t="s">
        <v>13</v>
      </c>
      <c r="B2" t="s">
        <v>14</v>
      </c>
      <c r="C2" t="s">
        <v>15</v>
      </c>
      <c r="D2" t="s">
        <v>16</v>
      </c>
      <c r="E2" t="s">
        <v>17</v>
      </c>
      <c r="F2" s="3">
        <v>5.21</v>
      </c>
      <c r="G2">
        <v>477</v>
      </c>
      <c r="H2" s="3">
        <f>F2*G2</f>
        <v>2485.17</v>
      </c>
      <c r="I2" s="3">
        <v>124.26</v>
      </c>
      <c r="J2" s="3">
        <v>2360.91</v>
      </c>
      <c r="K2" t="s">
        <v>18</v>
      </c>
      <c r="L2" t="s">
        <v>19</v>
      </c>
      <c r="M2" t="s">
        <v>20</v>
      </c>
      <c r="N2" t="str">
        <f>TEXT(B2,"mmm")</f>
        <v>Nov</v>
      </c>
      <c r="O2" s="3"/>
    </row>
    <row r="3" spans="1:15" x14ac:dyDescent="0.3">
      <c r="A3" t="s">
        <v>21</v>
      </c>
      <c r="B3" t="s">
        <v>22</v>
      </c>
      <c r="C3" t="s">
        <v>23</v>
      </c>
      <c r="D3" t="s">
        <v>16</v>
      </c>
      <c r="E3" t="s">
        <v>24</v>
      </c>
      <c r="F3" s="3">
        <v>4.45</v>
      </c>
      <c r="G3">
        <v>1054</v>
      </c>
      <c r="H3" s="3">
        <f t="shared" ref="H3:H66" si="0">F3*G3</f>
        <v>4690.3</v>
      </c>
      <c r="I3" s="3">
        <v>0</v>
      </c>
      <c r="J3" s="3">
        <v>4690.3</v>
      </c>
      <c r="K3" t="s">
        <v>25</v>
      </c>
      <c r="L3" t="s">
        <v>26</v>
      </c>
      <c r="M3" t="s">
        <v>27</v>
      </c>
      <c r="N3" t="str">
        <f t="shared" ref="N3:N66" si="1">TEXT(B3,"mmm")</f>
        <v>Aug</v>
      </c>
    </row>
    <row r="4" spans="1:15" x14ac:dyDescent="0.3">
      <c r="A4" t="s">
        <v>28</v>
      </c>
      <c r="B4" t="s">
        <v>29</v>
      </c>
      <c r="C4" t="s">
        <v>30</v>
      </c>
      <c r="D4" t="s">
        <v>31</v>
      </c>
      <c r="E4" t="s">
        <v>32</v>
      </c>
      <c r="F4" s="3">
        <v>4.4800000000000004</v>
      </c>
      <c r="G4">
        <v>1226</v>
      </c>
      <c r="H4" s="3">
        <f t="shared" si="0"/>
        <v>5492.4800000000005</v>
      </c>
      <c r="I4" s="3">
        <v>549.25</v>
      </c>
      <c r="J4" s="3">
        <v>4943.2299999999996</v>
      </c>
      <c r="K4" t="s">
        <v>18</v>
      </c>
      <c r="L4" t="s">
        <v>26</v>
      </c>
      <c r="M4" t="s">
        <v>27</v>
      </c>
      <c r="N4" t="str">
        <f t="shared" si="1"/>
        <v>Nov</v>
      </c>
    </row>
    <row r="5" spans="1:15" x14ac:dyDescent="0.3">
      <c r="A5" t="s">
        <v>33</v>
      </c>
      <c r="B5" t="s">
        <v>22</v>
      </c>
      <c r="C5" t="s">
        <v>34</v>
      </c>
      <c r="D5" t="s">
        <v>35</v>
      </c>
      <c r="E5" t="s">
        <v>36</v>
      </c>
      <c r="F5" s="3">
        <v>4.41</v>
      </c>
      <c r="G5">
        <v>1583</v>
      </c>
      <c r="H5" s="3">
        <f t="shared" si="0"/>
        <v>6981.0300000000007</v>
      </c>
      <c r="I5" s="3">
        <v>698.1</v>
      </c>
      <c r="J5" s="3">
        <v>6282.93</v>
      </c>
      <c r="K5" t="s">
        <v>18</v>
      </c>
      <c r="L5" t="s">
        <v>19</v>
      </c>
      <c r="M5" t="s">
        <v>37</v>
      </c>
      <c r="N5" t="str">
        <f t="shared" si="1"/>
        <v>Aug</v>
      </c>
    </row>
    <row r="6" spans="1:15" x14ac:dyDescent="0.3">
      <c r="A6" t="s">
        <v>38</v>
      </c>
      <c r="B6" t="s">
        <v>39</v>
      </c>
      <c r="C6" t="s">
        <v>40</v>
      </c>
      <c r="D6" t="s">
        <v>41</v>
      </c>
      <c r="E6" t="s">
        <v>42</v>
      </c>
      <c r="F6" s="3">
        <v>5.07</v>
      </c>
      <c r="G6">
        <v>108</v>
      </c>
      <c r="H6" s="3">
        <f t="shared" si="0"/>
        <v>547.56000000000006</v>
      </c>
      <c r="I6" s="3">
        <v>82.13</v>
      </c>
      <c r="J6" s="3">
        <v>465.43</v>
      </c>
      <c r="K6" t="s">
        <v>25</v>
      </c>
      <c r="L6" t="s">
        <v>19</v>
      </c>
      <c r="M6" t="s">
        <v>37</v>
      </c>
      <c r="N6" t="str">
        <f t="shared" si="1"/>
        <v>Feb</v>
      </c>
    </row>
    <row r="7" spans="1:15" x14ac:dyDescent="0.3">
      <c r="A7" t="s">
        <v>43</v>
      </c>
      <c r="B7" t="s">
        <v>44</v>
      </c>
      <c r="C7" t="s">
        <v>45</v>
      </c>
      <c r="D7" t="s">
        <v>46</v>
      </c>
      <c r="E7" t="s">
        <v>17</v>
      </c>
      <c r="F7" s="3">
        <v>9.85</v>
      </c>
      <c r="G7">
        <v>1784</v>
      </c>
      <c r="H7" s="3">
        <f t="shared" si="0"/>
        <v>17572.399999999998</v>
      </c>
      <c r="I7" s="3">
        <v>1757.24</v>
      </c>
      <c r="J7" s="3">
        <v>15815.16</v>
      </c>
      <c r="K7" t="s">
        <v>25</v>
      </c>
      <c r="L7" t="s">
        <v>26</v>
      </c>
      <c r="M7" t="s">
        <v>27</v>
      </c>
      <c r="N7" t="str">
        <f t="shared" si="1"/>
        <v>Feb</v>
      </c>
    </row>
    <row r="8" spans="1:15" x14ac:dyDescent="0.3">
      <c r="A8" t="s">
        <v>47</v>
      </c>
      <c r="B8" t="s">
        <v>48</v>
      </c>
      <c r="C8" t="s">
        <v>49</v>
      </c>
      <c r="D8" t="s">
        <v>50</v>
      </c>
      <c r="E8" t="s">
        <v>51</v>
      </c>
      <c r="F8" s="3">
        <v>14.8</v>
      </c>
      <c r="G8">
        <v>1771</v>
      </c>
      <c r="H8" s="3">
        <f t="shared" si="0"/>
        <v>26210.800000000003</v>
      </c>
      <c r="I8" s="3">
        <v>1310.54</v>
      </c>
      <c r="J8" s="3">
        <v>24900.26</v>
      </c>
      <c r="K8" t="s">
        <v>18</v>
      </c>
      <c r="L8" t="s">
        <v>52</v>
      </c>
      <c r="M8" t="s">
        <v>53</v>
      </c>
      <c r="N8" t="str">
        <f t="shared" si="1"/>
        <v>Feb</v>
      </c>
    </row>
    <row r="9" spans="1:15" x14ac:dyDescent="0.3">
      <c r="A9" t="s">
        <v>54</v>
      </c>
      <c r="B9" t="s">
        <v>55</v>
      </c>
      <c r="C9" t="s">
        <v>56</v>
      </c>
      <c r="D9" t="s">
        <v>41</v>
      </c>
      <c r="E9" t="s">
        <v>36</v>
      </c>
      <c r="F9" s="3">
        <v>6.5</v>
      </c>
      <c r="G9">
        <v>449</v>
      </c>
      <c r="H9" s="3">
        <f t="shared" si="0"/>
        <v>2918.5</v>
      </c>
      <c r="I9" s="3">
        <v>291.85000000000002</v>
      </c>
      <c r="J9" s="3">
        <v>2626.65</v>
      </c>
      <c r="K9" t="s">
        <v>18</v>
      </c>
      <c r="L9" t="s">
        <v>26</v>
      </c>
      <c r="M9" t="s">
        <v>20</v>
      </c>
      <c r="N9" t="str">
        <f t="shared" si="1"/>
        <v>Aug</v>
      </c>
    </row>
    <row r="10" spans="1:15" x14ac:dyDescent="0.3">
      <c r="A10" t="s">
        <v>57</v>
      </c>
      <c r="B10" t="s">
        <v>58</v>
      </c>
      <c r="C10" t="s">
        <v>59</v>
      </c>
      <c r="D10" t="s">
        <v>60</v>
      </c>
      <c r="E10" t="s">
        <v>32</v>
      </c>
      <c r="F10" s="3">
        <v>5.14</v>
      </c>
      <c r="G10">
        <v>1915</v>
      </c>
      <c r="H10" s="3">
        <f t="shared" si="0"/>
        <v>9843.0999999999985</v>
      </c>
      <c r="I10" s="3">
        <v>492.16</v>
      </c>
      <c r="J10" s="3">
        <v>9350.94</v>
      </c>
      <c r="K10" t="s">
        <v>61</v>
      </c>
      <c r="L10" t="s">
        <v>19</v>
      </c>
      <c r="M10" t="s">
        <v>62</v>
      </c>
      <c r="N10" t="str">
        <f t="shared" si="1"/>
        <v>May</v>
      </c>
    </row>
    <row r="11" spans="1:15" x14ac:dyDescent="0.3">
      <c r="A11" t="s">
        <v>63</v>
      </c>
      <c r="B11" t="s">
        <v>64</v>
      </c>
      <c r="C11" t="s">
        <v>65</v>
      </c>
      <c r="D11" t="s">
        <v>66</v>
      </c>
      <c r="E11" t="s">
        <v>51</v>
      </c>
      <c r="F11" s="3">
        <v>2.39</v>
      </c>
      <c r="G11">
        <v>1890</v>
      </c>
      <c r="H11" s="3">
        <f t="shared" si="0"/>
        <v>4517.1000000000004</v>
      </c>
      <c r="I11" s="3">
        <v>451.71</v>
      </c>
      <c r="J11" s="3">
        <v>4065.39</v>
      </c>
      <c r="K11" t="s">
        <v>67</v>
      </c>
      <c r="L11" t="s">
        <v>52</v>
      </c>
      <c r="M11" t="s">
        <v>37</v>
      </c>
      <c r="N11" t="str">
        <f t="shared" si="1"/>
        <v>Jan</v>
      </c>
    </row>
    <row r="12" spans="1:15" x14ac:dyDescent="0.3">
      <c r="A12" t="s">
        <v>68</v>
      </c>
      <c r="B12" t="s">
        <v>69</v>
      </c>
      <c r="C12" t="s">
        <v>70</v>
      </c>
      <c r="D12" t="s">
        <v>71</v>
      </c>
      <c r="E12" t="s">
        <v>51</v>
      </c>
      <c r="F12" s="3">
        <v>3.39</v>
      </c>
      <c r="G12">
        <v>1545</v>
      </c>
      <c r="H12" s="3">
        <f t="shared" si="0"/>
        <v>5237.55</v>
      </c>
      <c r="I12" s="3">
        <v>523.75</v>
      </c>
      <c r="J12" s="3">
        <v>4713.8</v>
      </c>
      <c r="K12" t="s">
        <v>25</v>
      </c>
      <c r="L12" t="s">
        <v>52</v>
      </c>
      <c r="M12" t="s">
        <v>20</v>
      </c>
      <c r="N12" t="str">
        <f t="shared" si="1"/>
        <v>Nov</v>
      </c>
    </row>
    <row r="13" spans="1:15" x14ac:dyDescent="0.3">
      <c r="A13" t="s">
        <v>72</v>
      </c>
      <c r="B13" t="s">
        <v>73</v>
      </c>
      <c r="C13" t="s">
        <v>74</v>
      </c>
      <c r="D13" t="s">
        <v>50</v>
      </c>
      <c r="E13" t="s">
        <v>36</v>
      </c>
      <c r="F13" s="3">
        <v>8.3800000000000008</v>
      </c>
      <c r="G13">
        <v>206</v>
      </c>
      <c r="H13" s="3">
        <f t="shared" si="0"/>
        <v>1726.2800000000002</v>
      </c>
      <c r="I13" s="3">
        <v>0</v>
      </c>
      <c r="J13" s="3">
        <v>1726.28</v>
      </c>
      <c r="K13" t="s">
        <v>18</v>
      </c>
      <c r="L13" t="s">
        <v>26</v>
      </c>
      <c r="M13" t="s">
        <v>27</v>
      </c>
      <c r="N13" t="str">
        <f t="shared" si="1"/>
        <v>Jul</v>
      </c>
    </row>
    <row r="14" spans="1:15" x14ac:dyDescent="0.3">
      <c r="A14" t="s">
        <v>75</v>
      </c>
      <c r="B14" t="s">
        <v>76</v>
      </c>
      <c r="C14" t="s">
        <v>77</v>
      </c>
      <c r="D14" t="s">
        <v>78</v>
      </c>
      <c r="E14" t="s">
        <v>42</v>
      </c>
      <c r="F14" s="3">
        <v>2.36</v>
      </c>
      <c r="G14">
        <v>801</v>
      </c>
      <c r="H14" s="3">
        <f t="shared" si="0"/>
        <v>1890.36</v>
      </c>
      <c r="I14" s="3">
        <v>283.55</v>
      </c>
      <c r="J14" s="3">
        <v>1606.81</v>
      </c>
      <c r="K14" t="s">
        <v>25</v>
      </c>
      <c r="L14" t="s">
        <v>79</v>
      </c>
      <c r="M14" t="s">
        <v>20</v>
      </c>
      <c r="N14" t="str">
        <f t="shared" si="1"/>
        <v>Mar</v>
      </c>
    </row>
    <row r="15" spans="1:15" x14ac:dyDescent="0.3">
      <c r="A15" t="s">
        <v>80</v>
      </c>
      <c r="B15" t="s">
        <v>81</v>
      </c>
      <c r="C15" t="s">
        <v>77</v>
      </c>
      <c r="D15" t="s">
        <v>82</v>
      </c>
      <c r="E15" t="s">
        <v>17</v>
      </c>
      <c r="F15" s="3">
        <v>13.44</v>
      </c>
      <c r="G15">
        <v>1557</v>
      </c>
      <c r="H15" s="3">
        <f t="shared" si="0"/>
        <v>20926.079999999998</v>
      </c>
      <c r="I15" s="3">
        <v>2092.61</v>
      </c>
      <c r="J15" s="3">
        <v>18833.47</v>
      </c>
      <c r="K15" t="s">
        <v>61</v>
      </c>
      <c r="L15" t="s">
        <v>19</v>
      </c>
      <c r="M15" t="s">
        <v>53</v>
      </c>
      <c r="N15" t="str">
        <f t="shared" si="1"/>
        <v>Jan</v>
      </c>
    </row>
    <row r="16" spans="1:15" x14ac:dyDescent="0.3">
      <c r="A16" t="s">
        <v>83</v>
      </c>
      <c r="B16" t="s">
        <v>84</v>
      </c>
      <c r="C16" t="s">
        <v>85</v>
      </c>
      <c r="D16" t="s">
        <v>60</v>
      </c>
      <c r="E16" t="s">
        <v>24</v>
      </c>
      <c r="F16" s="3">
        <v>14.38</v>
      </c>
      <c r="G16">
        <v>1813</v>
      </c>
      <c r="H16" s="3">
        <f t="shared" si="0"/>
        <v>26070.940000000002</v>
      </c>
      <c r="I16" s="3">
        <v>2607.09</v>
      </c>
      <c r="J16" s="3">
        <v>23463.85</v>
      </c>
      <c r="K16" t="s">
        <v>25</v>
      </c>
      <c r="L16" t="s">
        <v>26</v>
      </c>
      <c r="M16" t="s">
        <v>20</v>
      </c>
      <c r="N16" t="str">
        <f t="shared" si="1"/>
        <v>Aug</v>
      </c>
    </row>
    <row r="17" spans="1:14" x14ac:dyDescent="0.3">
      <c r="A17" t="s">
        <v>86</v>
      </c>
      <c r="B17" t="s">
        <v>87</v>
      </c>
      <c r="C17" t="s">
        <v>88</v>
      </c>
      <c r="D17" t="s">
        <v>46</v>
      </c>
      <c r="E17" t="s">
        <v>17</v>
      </c>
      <c r="F17" s="3">
        <v>8.35</v>
      </c>
      <c r="G17">
        <v>427</v>
      </c>
      <c r="H17" s="3">
        <f t="shared" si="0"/>
        <v>3565.45</v>
      </c>
      <c r="I17" s="3">
        <v>178.27</v>
      </c>
      <c r="J17" s="3">
        <v>3387.18</v>
      </c>
      <c r="K17" t="s">
        <v>61</v>
      </c>
      <c r="L17" t="s">
        <v>26</v>
      </c>
      <c r="M17" t="s">
        <v>20</v>
      </c>
      <c r="N17" t="str">
        <f t="shared" si="1"/>
        <v>Feb</v>
      </c>
    </row>
    <row r="18" spans="1:14" x14ac:dyDescent="0.3">
      <c r="A18" t="s">
        <v>89</v>
      </c>
      <c r="B18" t="s">
        <v>90</v>
      </c>
      <c r="C18" t="s">
        <v>91</v>
      </c>
      <c r="D18" t="s">
        <v>92</v>
      </c>
      <c r="E18" t="s">
        <v>51</v>
      </c>
      <c r="F18" s="3">
        <v>8.1</v>
      </c>
      <c r="G18">
        <v>249</v>
      </c>
      <c r="H18" s="3">
        <f t="shared" si="0"/>
        <v>2016.8999999999999</v>
      </c>
      <c r="I18" s="3">
        <v>201.69</v>
      </c>
      <c r="J18" s="3">
        <v>1815.21</v>
      </c>
      <c r="K18" t="s">
        <v>61</v>
      </c>
      <c r="L18" t="s">
        <v>26</v>
      </c>
      <c r="M18" t="s">
        <v>93</v>
      </c>
      <c r="N18" t="str">
        <f t="shared" si="1"/>
        <v>Sep</v>
      </c>
    </row>
    <row r="19" spans="1:14" x14ac:dyDescent="0.3">
      <c r="A19" t="s">
        <v>94</v>
      </c>
      <c r="B19" t="s">
        <v>95</v>
      </c>
      <c r="C19" t="s">
        <v>96</v>
      </c>
      <c r="D19" t="s">
        <v>97</v>
      </c>
      <c r="E19" t="s">
        <v>24</v>
      </c>
      <c r="F19" s="3">
        <v>11.38</v>
      </c>
      <c r="G19">
        <v>1691</v>
      </c>
      <c r="H19" s="3">
        <f t="shared" si="0"/>
        <v>19243.580000000002</v>
      </c>
      <c r="I19" s="3">
        <v>0</v>
      </c>
      <c r="J19" s="3">
        <v>19243.580000000002</v>
      </c>
      <c r="K19" t="s">
        <v>25</v>
      </c>
      <c r="L19" t="s">
        <v>26</v>
      </c>
      <c r="M19" t="s">
        <v>62</v>
      </c>
      <c r="N19" t="str">
        <f t="shared" si="1"/>
        <v>May</v>
      </c>
    </row>
    <row r="20" spans="1:14" x14ac:dyDescent="0.3">
      <c r="A20" t="s">
        <v>98</v>
      </c>
      <c r="B20" t="s">
        <v>99</v>
      </c>
      <c r="C20" t="s">
        <v>100</v>
      </c>
      <c r="D20" t="s">
        <v>31</v>
      </c>
      <c r="E20" t="s">
        <v>36</v>
      </c>
      <c r="F20" s="3">
        <v>5.08</v>
      </c>
      <c r="G20">
        <v>1806</v>
      </c>
      <c r="H20" s="3">
        <f t="shared" si="0"/>
        <v>9174.48</v>
      </c>
      <c r="I20" s="3">
        <v>1376.17</v>
      </c>
      <c r="J20" s="3">
        <v>7798.31</v>
      </c>
      <c r="K20" t="s">
        <v>67</v>
      </c>
      <c r="L20" t="s">
        <v>26</v>
      </c>
      <c r="M20" t="s">
        <v>27</v>
      </c>
      <c r="N20" t="str">
        <f t="shared" si="1"/>
        <v>Dec</v>
      </c>
    </row>
    <row r="21" spans="1:14" x14ac:dyDescent="0.3">
      <c r="A21" t="s">
        <v>101</v>
      </c>
      <c r="B21" t="s">
        <v>102</v>
      </c>
      <c r="C21" t="s">
        <v>103</v>
      </c>
      <c r="D21" t="s">
        <v>41</v>
      </c>
      <c r="E21" t="s">
        <v>32</v>
      </c>
      <c r="F21" s="3">
        <v>13.64</v>
      </c>
      <c r="G21">
        <v>944</v>
      </c>
      <c r="H21" s="3">
        <f t="shared" si="0"/>
        <v>12876.16</v>
      </c>
      <c r="I21" s="3">
        <v>0</v>
      </c>
      <c r="J21" s="3">
        <v>12876.16</v>
      </c>
      <c r="K21" t="s">
        <v>67</v>
      </c>
      <c r="L21" t="s">
        <v>26</v>
      </c>
      <c r="M21" t="s">
        <v>93</v>
      </c>
      <c r="N21" t="str">
        <f t="shared" si="1"/>
        <v>Jun</v>
      </c>
    </row>
    <row r="22" spans="1:14" x14ac:dyDescent="0.3">
      <c r="A22" t="s">
        <v>104</v>
      </c>
      <c r="B22" t="s">
        <v>105</v>
      </c>
      <c r="C22" t="s">
        <v>106</v>
      </c>
      <c r="D22" t="s">
        <v>107</v>
      </c>
      <c r="E22" t="s">
        <v>42</v>
      </c>
      <c r="F22" s="3">
        <v>4.6100000000000003</v>
      </c>
      <c r="G22">
        <v>471</v>
      </c>
      <c r="H22" s="3">
        <f t="shared" si="0"/>
        <v>2171.31</v>
      </c>
      <c r="I22" s="3">
        <v>0</v>
      </c>
      <c r="J22" s="3">
        <v>2171.31</v>
      </c>
      <c r="K22" t="s">
        <v>18</v>
      </c>
      <c r="L22" t="s">
        <v>19</v>
      </c>
      <c r="M22" t="s">
        <v>62</v>
      </c>
      <c r="N22" t="str">
        <f t="shared" si="1"/>
        <v>Jun</v>
      </c>
    </row>
    <row r="23" spans="1:14" x14ac:dyDescent="0.3">
      <c r="A23" t="s">
        <v>108</v>
      </c>
      <c r="B23" t="s">
        <v>109</v>
      </c>
      <c r="C23" t="s">
        <v>23</v>
      </c>
      <c r="D23" t="s">
        <v>110</v>
      </c>
      <c r="E23" t="s">
        <v>24</v>
      </c>
      <c r="F23" s="3">
        <v>8.44</v>
      </c>
      <c r="G23">
        <v>590</v>
      </c>
      <c r="H23" s="3">
        <f t="shared" si="0"/>
        <v>4979.5999999999995</v>
      </c>
      <c r="I23" s="3">
        <v>746.94</v>
      </c>
      <c r="J23" s="3">
        <v>4232.66</v>
      </c>
      <c r="K23" t="s">
        <v>67</v>
      </c>
      <c r="L23" t="s">
        <v>26</v>
      </c>
      <c r="M23" t="s">
        <v>27</v>
      </c>
      <c r="N23" t="str">
        <f t="shared" si="1"/>
        <v>Feb</v>
      </c>
    </row>
    <row r="24" spans="1:14" x14ac:dyDescent="0.3">
      <c r="A24" t="s">
        <v>111</v>
      </c>
      <c r="B24" t="s">
        <v>112</v>
      </c>
      <c r="C24" t="s">
        <v>113</v>
      </c>
      <c r="D24" t="s">
        <v>114</v>
      </c>
      <c r="E24" t="s">
        <v>36</v>
      </c>
      <c r="F24" s="3">
        <v>12.09</v>
      </c>
      <c r="G24">
        <v>1673</v>
      </c>
      <c r="H24" s="3">
        <f t="shared" si="0"/>
        <v>20226.57</v>
      </c>
      <c r="I24" s="3">
        <v>3033.99</v>
      </c>
      <c r="J24" s="3">
        <v>17192.580000000002</v>
      </c>
      <c r="K24" t="s">
        <v>67</v>
      </c>
      <c r="L24" t="s">
        <v>19</v>
      </c>
      <c r="M24" t="s">
        <v>93</v>
      </c>
      <c r="N24" t="str">
        <f t="shared" si="1"/>
        <v>Oct</v>
      </c>
    </row>
    <row r="25" spans="1:14" x14ac:dyDescent="0.3">
      <c r="A25" t="s">
        <v>115</v>
      </c>
      <c r="B25" t="s">
        <v>99</v>
      </c>
      <c r="C25" t="s">
        <v>116</v>
      </c>
      <c r="D25" t="s">
        <v>41</v>
      </c>
      <c r="E25" t="s">
        <v>32</v>
      </c>
      <c r="F25" s="3">
        <v>7.05</v>
      </c>
      <c r="G25">
        <v>1789</v>
      </c>
      <c r="H25" s="3">
        <f t="shared" si="0"/>
        <v>12612.449999999999</v>
      </c>
      <c r="I25" s="3">
        <v>0</v>
      </c>
      <c r="J25" s="3">
        <v>12612.45</v>
      </c>
      <c r="K25" t="s">
        <v>18</v>
      </c>
      <c r="L25" t="s">
        <v>19</v>
      </c>
      <c r="M25" t="s">
        <v>37</v>
      </c>
      <c r="N25" t="str">
        <f t="shared" si="1"/>
        <v>Dec</v>
      </c>
    </row>
    <row r="26" spans="1:14" x14ac:dyDescent="0.3">
      <c r="A26" t="s">
        <v>117</v>
      </c>
      <c r="B26" t="s">
        <v>105</v>
      </c>
      <c r="C26" t="s">
        <v>118</v>
      </c>
      <c r="D26" t="s">
        <v>50</v>
      </c>
      <c r="E26" t="s">
        <v>36</v>
      </c>
      <c r="F26" s="3">
        <v>4.07</v>
      </c>
      <c r="G26">
        <v>938</v>
      </c>
      <c r="H26" s="3">
        <f t="shared" si="0"/>
        <v>3817.6600000000003</v>
      </c>
      <c r="I26" s="3">
        <v>190.88</v>
      </c>
      <c r="J26" s="3">
        <v>3626.78</v>
      </c>
      <c r="K26" t="s">
        <v>119</v>
      </c>
      <c r="L26" t="s">
        <v>26</v>
      </c>
      <c r="M26" t="s">
        <v>53</v>
      </c>
      <c r="N26" t="str">
        <f t="shared" si="1"/>
        <v>Jun</v>
      </c>
    </row>
    <row r="27" spans="1:14" x14ac:dyDescent="0.3">
      <c r="A27" t="s">
        <v>120</v>
      </c>
      <c r="B27" t="s">
        <v>121</v>
      </c>
      <c r="C27" t="s">
        <v>122</v>
      </c>
      <c r="D27" t="s">
        <v>97</v>
      </c>
      <c r="E27" t="s">
        <v>32</v>
      </c>
      <c r="F27" s="3">
        <v>12.41</v>
      </c>
      <c r="G27">
        <v>1773</v>
      </c>
      <c r="H27" s="3">
        <f t="shared" si="0"/>
        <v>22002.93</v>
      </c>
      <c r="I27" s="3">
        <v>0</v>
      </c>
      <c r="J27" s="3">
        <v>22002.93</v>
      </c>
      <c r="K27" t="s">
        <v>18</v>
      </c>
      <c r="L27" t="s">
        <v>19</v>
      </c>
      <c r="M27" t="s">
        <v>93</v>
      </c>
      <c r="N27" t="str">
        <f t="shared" si="1"/>
        <v>Aug</v>
      </c>
    </row>
    <row r="28" spans="1:14" x14ac:dyDescent="0.3">
      <c r="A28" t="s">
        <v>123</v>
      </c>
      <c r="B28" t="s">
        <v>124</v>
      </c>
      <c r="C28" t="s">
        <v>125</v>
      </c>
      <c r="D28" t="s">
        <v>78</v>
      </c>
      <c r="E28" t="s">
        <v>32</v>
      </c>
      <c r="F28" s="3">
        <v>8</v>
      </c>
      <c r="G28">
        <v>1790</v>
      </c>
      <c r="H28" s="3">
        <f t="shared" si="0"/>
        <v>14320</v>
      </c>
      <c r="I28" s="3">
        <v>2148</v>
      </c>
      <c r="J28" s="3">
        <v>12172</v>
      </c>
      <c r="K28" t="s">
        <v>18</v>
      </c>
      <c r="L28" t="s">
        <v>26</v>
      </c>
      <c r="M28" t="s">
        <v>37</v>
      </c>
      <c r="N28" t="str">
        <f t="shared" si="1"/>
        <v>May</v>
      </c>
    </row>
    <row r="29" spans="1:14" x14ac:dyDescent="0.3">
      <c r="A29" t="s">
        <v>126</v>
      </c>
      <c r="B29" t="s">
        <v>127</v>
      </c>
      <c r="C29" t="s">
        <v>128</v>
      </c>
      <c r="D29" t="s">
        <v>35</v>
      </c>
      <c r="E29" t="s">
        <v>32</v>
      </c>
      <c r="F29" s="3">
        <v>5.35</v>
      </c>
      <c r="G29">
        <v>1446</v>
      </c>
      <c r="H29" s="3">
        <f t="shared" si="0"/>
        <v>7736.0999999999995</v>
      </c>
      <c r="I29" s="3">
        <v>1160.4100000000001</v>
      </c>
      <c r="J29" s="3">
        <v>6575.69</v>
      </c>
      <c r="K29" t="s">
        <v>67</v>
      </c>
      <c r="L29" t="s">
        <v>26</v>
      </c>
      <c r="M29" t="s">
        <v>53</v>
      </c>
      <c r="N29" t="str">
        <f t="shared" si="1"/>
        <v>Jan</v>
      </c>
    </row>
    <row r="30" spans="1:14" x14ac:dyDescent="0.3">
      <c r="A30" t="s">
        <v>129</v>
      </c>
      <c r="B30" t="s">
        <v>130</v>
      </c>
      <c r="C30" t="s">
        <v>131</v>
      </c>
      <c r="D30" t="s">
        <v>107</v>
      </c>
      <c r="E30" t="s">
        <v>17</v>
      </c>
      <c r="F30" s="3">
        <v>8.82</v>
      </c>
      <c r="G30">
        <v>1551</v>
      </c>
      <c r="H30" s="3">
        <f t="shared" si="0"/>
        <v>13679.82</v>
      </c>
      <c r="I30" s="3">
        <v>1367.98</v>
      </c>
      <c r="J30" s="3">
        <v>12311.84</v>
      </c>
      <c r="K30" t="s">
        <v>18</v>
      </c>
      <c r="L30" t="s">
        <v>19</v>
      </c>
      <c r="M30" t="s">
        <v>20</v>
      </c>
      <c r="N30" t="str">
        <f t="shared" si="1"/>
        <v>Apr</v>
      </c>
    </row>
    <row r="31" spans="1:14" x14ac:dyDescent="0.3">
      <c r="A31" t="s">
        <v>132</v>
      </c>
      <c r="B31" t="s">
        <v>133</v>
      </c>
      <c r="C31" t="s">
        <v>134</v>
      </c>
      <c r="D31" t="s">
        <v>135</v>
      </c>
      <c r="E31" t="s">
        <v>36</v>
      </c>
      <c r="F31" s="3">
        <v>2.27</v>
      </c>
      <c r="G31">
        <v>1060</v>
      </c>
      <c r="H31" s="3">
        <f t="shared" si="0"/>
        <v>2406.1999999999998</v>
      </c>
      <c r="I31" s="3">
        <v>0</v>
      </c>
      <c r="J31" s="3">
        <v>2406.1999999999998</v>
      </c>
      <c r="K31" t="s">
        <v>67</v>
      </c>
      <c r="L31" t="s">
        <v>19</v>
      </c>
      <c r="M31" t="s">
        <v>20</v>
      </c>
      <c r="N31" t="str">
        <f t="shared" si="1"/>
        <v>Sep</v>
      </c>
    </row>
    <row r="32" spans="1:14" x14ac:dyDescent="0.3">
      <c r="A32" t="s">
        <v>136</v>
      </c>
      <c r="B32" t="s">
        <v>109</v>
      </c>
      <c r="C32" t="s">
        <v>137</v>
      </c>
      <c r="D32" t="s">
        <v>50</v>
      </c>
      <c r="E32" t="s">
        <v>32</v>
      </c>
      <c r="F32" s="3">
        <v>3.12</v>
      </c>
      <c r="G32">
        <v>1843</v>
      </c>
      <c r="H32" s="3">
        <f t="shared" si="0"/>
        <v>5750.16</v>
      </c>
      <c r="I32" s="3">
        <v>287.51</v>
      </c>
      <c r="J32" s="3">
        <v>5462.65</v>
      </c>
      <c r="K32" t="s">
        <v>25</v>
      </c>
      <c r="L32" t="s">
        <v>19</v>
      </c>
      <c r="M32" t="s">
        <v>20</v>
      </c>
      <c r="N32" t="str">
        <f t="shared" si="1"/>
        <v>Feb</v>
      </c>
    </row>
    <row r="33" spans="1:14" x14ac:dyDescent="0.3">
      <c r="A33" t="s">
        <v>138</v>
      </c>
      <c r="B33" t="s">
        <v>139</v>
      </c>
      <c r="C33" t="s">
        <v>140</v>
      </c>
      <c r="D33" t="s">
        <v>107</v>
      </c>
      <c r="E33" t="s">
        <v>42</v>
      </c>
      <c r="F33" s="3">
        <v>8.56</v>
      </c>
      <c r="G33">
        <v>1934</v>
      </c>
      <c r="H33" s="3">
        <f t="shared" si="0"/>
        <v>16555.04</v>
      </c>
      <c r="I33" s="3">
        <v>1655.5</v>
      </c>
      <c r="J33" s="3">
        <v>14899.54</v>
      </c>
      <c r="K33" t="s">
        <v>67</v>
      </c>
      <c r="L33" t="s">
        <v>79</v>
      </c>
      <c r="M33" t="s">
        <v>62</v>
      </c>
      <c r="N33" t="str">
        <f t="shared" si="1"/>
        <v>Feb</v>
      </c>
    </row>
    <row r="34" spans="1:14" x14ac:dyDescent="0.3">
      <c r="A34" t="s">
        <v>141</v>
      </c>
      <c r="B34" t="s">
        <v>142</v>
      </c>
      <c r="C34" t="s">
        <v>143</v>
      </c>
      <c r="D34" t="s">
        <v>71</v>
      </c>
      <c r="E34" t="s">
        <v>17</v>
      </c>
      <c r="F34" s="3">
        <v>10.210000000000001</v>
      </c>
      <c r="G34">
        <v>956</v>
      </c>
      <c r="H34" s="3">
        <f t="shared" si="0"/>
        <v>9760.76</v>
      </c>
      <c r="I34" s="3">
        <v>976.08</v>
      </c>
      <c r="J34" s="3">
        <v>8784.68</v>
      </c>
      <c r="K34" t="s">
        <v>18</v>
      </c>
      <c r="L34" t="s">
        <v>19</v>
      </c>
      <c r="M34" t="s">
        <v>37</v>
      </c>
      <c r="N34" t="str">
        <f t="shared" si="1"/>
        <v>May</v>
      </c>
    </row>
    <row r="35" spans="1:14" x14ac:dyDescent="0.3">
      <c r="A35" t="s">
        <v>144</v>
      </c>
      <c r="B35" t="s">
        <v>145</v>
      </c>
      <c r="C35" t="s">
        <v>146</v>
      </c>
      <c r="D35" t="s">
        <v>82</v>
      </c>
      <c r="E35" t="s">
        <v>24</v>
      </c>
      <c r="F35" s="3">
        <v>8.76</v>
      </c>
      <c r="G35">
        <v>1056</v>
      </c>
      <c r="H35" s="3">
        <f t="shared" si="0"/>
        <v>9250.56</v>
      </c>
      <c r="I35" s="3">
        <v>925.06</v>
      </c>
      <c r="J35" s="3">
        <v>8325.5</v>
      </c>
      <c r="K35" t="s">
        <v>67</v>
      </c>
      <c r="L35" t="s">
        <v>79</v>
      </c>
      <c r="M35" t="s">
        <v>93</v>
      </c>
      <c r="N35" t="str">
        <f t="shared" si="1"/>
        <v>Nov</v>
      </c>
    </row>
    <row r="36" spans="1:14" x14ac:dyDescent="0.3">
      <c r="A36" t="s">
        <v>147</v>
      </c>
      <c r="B36" t="s">
        <v>58</v>
      </c>
      <c r="C36" t="s">
        <v>148</v>
      </c>
      <c r="D36" t="s">
        <v>46</v>
      </c>
      <c r="E36" t="s">
        <v>36</v>
      </c>
      <c r="F36" s="3">
        <v>7.42</v>
      </c>
      <c r="G36">
        <v>1132</v>
      </c>
      <c r="H36" s="3">
        <f t="shared" si="0"/>
        <v>8399.44</v>
      </c>
      <c r="I36" s="3">
        <v>839.94</v>
      </c>
      <c r="J36" s="3">
        <v>7559.5</v>
      </c>
      <c r="K36" t="s">
        <v>25</v>
      </c>
      <c r="L36" t="s">
        <v>19</v>
      </c>
      <c r="M36" t="s">
        <v>27</v>
      </c>
      <c r="N36" t="str">
        <f t="shared" si="1"/>
        <v>May</v>
      </c>
    </row>
    <row r="37" spans="1:14" x14ac:dyDescent="0.3">
      <c r="A37" t="s">
        <v>149</v>
      </c>
      <c r="B37" t="s">
        <v>150</v>
      </c>
      <c r="C37" t="s">
        <v>151</v>
      </c>
      <c r="D37" t="s">
        <v>82</v>
      </c>
      <c r="E37" t="s">
        <v>36</v>
      </c>
      <c r="F37" s="3">
        <v>5.07</v>
      </c>
      <c r="G37">
        <v>1842</v>
      </c>
      <c r="H37" s="3">
        <f t="shared" si="0"/>
        <v>9338.94</v>
      </c>
      <c r="I37" s="3">
        <v>0</v>
      </c>
      <c r="J37" s="3">
        <v>9338.94</v>
      </c>
      <c r="K37" t="s">
        <v>25</v>
      </c>
      <c r="L37" t="s">
        <v>26</v>
      </c>
      <c r="M37" t="s">
        <v>53</v>
      </c>
      <c r="N37" t="str">
        <f t="shared" si="1"/>
        <v>Oct</v>
      </c>
    </row>
    <row r="38" spans="1:14" x14ac:dyDescent="0.3">
      <c r="A38" t="s">
        <v>152</v>
      </c>
      <c r="B38" t="s">
        <v>153</v>
      </c>
      <c r="C38" t="s">
        <v>154</v>
      </c>
      <c r="D38" t="s">
        <v>155</v>
      </c>
      <c r="E38" t="s">
        <v>17</v>
      </c>
      <c r="F38" s="3">
        <v>6.13</v>
      </c>
      <c r="G38">
        <v>1427</v>
      </c>
      <c r="H38" s="3">
        <f t="shared" si="0"/>
        <v>8747.51</v>
      </c>
      <c r="I38" s="3">
        <v>874.75</v>
      </c>
      <c r="J38" s="3">
        <v>7872.76</v>
      </c>
      <c r="K38" t="s">
        <v>25</v>
      </c>
      <c r="L38" t="s">
        <v>52</v>
      </c>
      <c r="M38" t="s">
        <v>53</v>
      </c>
      <c r="N38" t="str">
        <f t="shared" si="1"/>
        <v>May</v>
      </c>
    </row>
    <row r="39" spans="1:14" x14ac:dyDescent="0.3">
      <c r="A39" t="s">
        <v>156</v>
      </c>
      <c r="B39" t="s">
        <v>157</v>
      </c>
      <c r="C39" t="s">
        <v>158</v>
      </c>
      <c r="D39" t="s">
        <v>78</v>
      </c>
      <c r="E39" t="s">
        <v>51</v>
      </c>
      <c r="F39" s="3">
        <v>2.1</v>
      </c>
      <c r="G39">
        <v>703</v>
      </c>
      <c r="H39" s="3">
        <f t="shared" si="0"/>
        <v>1476.3</v>
      </c>
      <c r="I39" s="3">
        <v>73.81</v>
      </c>
      <c r="J39" s="3">
        <v>1402.49</v>
      </c>
      <c r="K39" t="s">
        <v>61</v>
      </c>
      <c r="L39" t="s">
        <v>26</v>
      </c>
      <c r="M39" t="s">
        <v>27</v>
      </c>
      <c r="N39" t="str">
        <f t="shared" si="1"/>
        <v>Jan</v>
      </c>
    </row>
    <row r="40" spans="1:14" x14ac:dyDescent="0.3">
      <c r="A40" t="s">
        <v>159</v>
      </c>
      <c r="B40" t="s">
        <v>160</v>
      </c>
      <c r="C40" t="s">
        <v>45</v>
      </c>
      <c r="D40" t="s">
        <v>78</v>
      </c>
      <c r="E40" t="s">
        <v>42</v>
      </c>
      <c r="F40" s="3">
        <v>1.63</v>
      </c>
      <c r="G40">
        <v>174</v>
      </c>
      <c r="H40" s="3">
        <f t="shared" si="0"/>
        <v>283.62</v>
      </c>
      <c r="I40" s="3">
        <v>14.18</v>
      </c>
      <c r="J40" s="3">
        <v>269.44</v>
      </c>
      <c r="K40" t="s">
        <v>25</v>
      </c>
      <c r="L40" t="s">
        <v>19</v>
      </c>
      <c r="M40" t="s">
        <v>53</v>
      </c>
      <c r="N40" t="str">
        <f t="shared" si="1"/>
        <v>Aug</v>
      </c>
    </row>
    <row r="41" spans="1:14" x14ac:dyDescent="0.3">
      <c r="A41" t="s">
        <v>161</v>
      </c>
      <c r="B41" t="s">
        <v>162</v>
      </c>
      <c r="C41" t="s">
        <v>45</v>
      </c>
      <c r="D41" t="s">
        <v>71</v>
      </c>
      <c r="E41" t="s">
        <v>32</v>
      </c>
      <c r="F41" s="3">
        <v>3.22</v>
      </c>
      <c r="G41">
        <v>651</v>
      </c>
      <c r="H41" s="3">
        <f t="shared" si="0"/>
        <v>2096.2200000000003</v>
      </c>
      <c r="I41" s="3">
        <v>209.62</v>
      </c>
      <c r="J41" s="3">
        <v>1886.6</v>
      </c>
      <c r="K41" t="s">
        <v>18</v>
      </c>
      <c r="L41" t="s">
        <v>79</v>
      </c>
      <c r="M41" t="s">
        <v>62</v>
      </c>
      <c r="N41" t="str">
        <f t="shared" si="1"/>
        <v>Oct</v>
      </c>
    </row>
    <row r="42" spans="1:14" x14ac:dyDescent="0.3">
      <c r="A42" t="s">
        <v>163</v>
      </c>
      <c r="B42" t="s">
        <v>164</v>
      </c>
      <c r="C42" t="s">
        <v>122</v>
      </c>
      <c r="D42" t="s">
        <v>82</v>
      </c>
      <c r="E42" t="s">
        <v>51</v>
      </c>
      <c r="F42" s="3">
        <v>12.03</v>
      </c>
      <c r="G42">
        <v>1830</v>
      </c>
      <c r="H42" s="3">
        <f t="shared" si="0"/>
        <v>22014.899999999998</v>
      </c>
      <c r="I42" s="3">
        <v>3302.24</v>
      </c>
      <c r="J42" s="3">
        <v>18712.66</v>
      </c>
      <c r="K42" t="s">
        <v>25</v>
      </c>
      <c r="L42" t="s">
        <v>26</v>
      </c>
      <c r="M42" t="s">
        <v>62</v>
      </c>
      <c r="N42" t="str">
        <f t="shared" si="1"/>
        <v>Dec</v>
      </c>
    </row>
    <row r="43" spans="1:14" x14ac:dyDescent="0.3">
      <c r="A43" t="s">
        <v>165</v>
      </c>
      <c r="B43" t="s">
        <v>166</v>
      </c>
      <c r="C43" t="s">
        <v>167</v>
      </c>
      <c r="D43" t="s">
        <v>78</v>
      </c>
      <c r="E43" t="s">
        <v>24</v>
      </c>
      <c r="F43" s="3">
        <v>3.92</v>
      </c>
      <c r="G43">
        <v>1913</v>
      </c>
      <c r="H43" s="3">
        <f t="shared" si="0"/>
        <v>7498.96</v>
      </c>
      <c r="I43" s="3">
        <v>749.9</v>
      </c>
      <c r="J43" s="3">
        <v>6749.06</v>
      </c>
      <c r="K43" t="s">
        <v>119</v>
      </c>
      <c r="L43" t="s">
        <v>26</v>
      </c>
      <c r="M43" t="s">
        <v>53</v>
      </c>
      <c r="N43" t="str">
        <f t="shared" si="1"/>
        <v>Mar</v>
      </c>
    </row>
    <row r="44" spans="1:14" x14ac:dyDescent="0.3">
      <c r="A44" t="s">
        <v>168</v>
      </c>
      <c r="B44" t="s">
        <v>76</v>
      </c>
      <c r="C44" t="s">
        <v>30</v>
      </c>
      <c r="D44" t="s">
        <v>82</v>
      </c>
      <c r="E44" t="s">
        <v>32</v>
      </c>
      <c r="F44" s="3">
        <v>13.27</v>
      </c>
      <c r="G44">
        <v>1778</v>
      </c>
      <c r="H44" s="3">
        <f t="shared" si="0"/>
        <v>23594.059999999998</v>
      </c>
      <c r="I44" s="3">
        <v>3539.11</v>
      </c>
      <c r="J44" s="3">
        <v>20054.95</v>
      </c>
      <c r="K44" t="s">
        <v>67</v>
      </c>
      <c r="L44" t="s">
        <v>26</v>
      </c>
      <c r="M44" t="s">
        <v>37</v>
      </c>
      <c r="N44" t="str">
        <f t="shared" si="1"/>
        <v>Mar</v>
      </c>
    </row>
    <row r="45" spans="1:14" x14ac:dyDescent="0.3">
      <c r="A45" t="s">
        <v>169</v>
      </c>
      <c r="B45" t="s">
        <v>170</v>
      </c>
      <c r="C45" t="s">
        <v>171</v>
      </c>
      <c r="D45" t="s">
        <v>50</v>
      </c>
      <c r="E45" t="s">
        <v>36</v>
      </c>
      <c r="F45" s="3">
        <v>1.82</v>
      </c>
      <c r="G45">
        <v>415</v>
      </c>
      <c r="H45" s="3">
        <f t="shared" si="0"/>
        <v>755.30000000000007</v>
      </c>
      <c r="I45" s="3">
        <v>113.29</v>
      </c>
      <c r="J45" s="3">
        <v>642.01</v>
      </c>
      <c r="K45" t="s">
        <v>61</v>
      </c>
      <c r="L45" t="s">
        <v>79</v>
      </c>
      <c r="M45" t="s">
        <v>93</v>
      </c>
      <c r="N45" t="str">
        <f t="shared" si="1"/>
        <v>Jun</v>
      </c>
    </row>
    <row r="46" spans="1:14" x14ac:dyDescent="0.3">
      <c r="A46" t="s">
        <v>172</v>
      </c>
      <c r="B46" t="s">
        <v>173</v>
      </c>
      <c r="C46" t="s">
        <v>174</v>
      </c>
      <c r="D46" t="s">
        <v>135</v>
      </c>
      <c r="E46" t="s">
        <v>32</v>
      </c>
      <c r="F46" s="3">
        <v>10.67</v>
      </c>
      <c r="G46">
        <v>1747</v>
      </c>
      <c r="H46" s="3">
        <f t="shared" si="0"/>
        <v>18640.490000000002</v>
      </c>
      <c r="I46" s="3">
        <v>1864.05</v>
      </c>
      <c r="J46" s="3">
        <v>16776.439999999999</v>
      </c>
      <c r="K46" t="s">
        <v>18</v>
      </c>
      <c r="L46" t="s">
        <v>19</v>
      </c>
      <c r="M46" t="s">
        <v>53</v>
      </c>
      <c r="N46" t="str">
        <f t="shared" si="1"/>
        <v>May</v>
      </c>
    </row>
    <row r="47" spans="1:14" x14ac:dyDescent="0.3">
      <c r="A47" t="s">
        <v>175</v>
      </c>
      <c r="B47" t="s">
        <v>176</v>
      </c>
      <c r="C47" t="s">
        <v>177</v>
      </c>
      <c r="D47" t="s">
        <v>35</v>
      </c>
      <c r="E47" t="s">
        <v>24</v>
      </c>
      <c r="F47" s="3">
        <v>2.96</v>
      </c>
      <c r="G47">
        <v>909</v>
      </c>
      <c r="H47" s="3">
        <f t="shared" si="0"/>
        <v>2690.64</v>
      </c>
      <c r="I47" s="3">
        <v>269.06</v>
      </c>
      <c r="J47" s="3">
        <v>2421.58</v>
      </c>
      <c r="K47" t="s">
        <v>61</v>
      </c>
      <c r="L47" t="s">
        <v>52</v>
      </c>
      <c r="M47" t="s">
        <v>20</v>
      </c>
      <c r="N47" t="str">
        <f t="shared" si="1"/>
        <v>Apr</v>
      </c>
    </row>
    <row r="48" spans="1:14" x14ac:dyDescent="0.3">
      <c r="A48" t="s">
        <v>178</v>
      </c>
      <c r="B48" t="s">
        <v>179</v>
      </c>
      <c r="C48" t="s">
        <v>180</v>
      </c>
      <c r="D48" t="s">
        <v>66</v>
      </c>
      <c r="E48" t="s">
        <v>42</v>
      </c>
      <c r="F48" s="3">
        <v>4.07</v>
      </c>
      <c r="G48">
        <v>110</v>
      </c>
      <c r="H48" s="3">
        <f t="shared" si="0"/>
        <v>447.70000000000005</v>
      </c>
      <c r="I48" s="3">
        <v>67.16</v>
      </c>
      <c r="J48" s="3">
        <v>380.54</v>
      </c>
      <c r="K48" t="s">
        <v>18</v>
      </c>
      <c r="L48" t="s">
        <v>26</v>
      </c>
      <c r="M48" t="s">
        <v>53</v>
      </c>
      <c r="N48" t="str">
        <f t="shared" si="1"/>
        <v>Sep</v>
      </c>
    </row>
    <row r="49" spans="1:14" x14ac:dyDescent="0.3">
      <c r="A49" t="s">
        <v>181</v>
      </c>
      <c r="B49" t="s">
        <v>182</v>
      </c>
      <c r="C49" t="s">
        <v>183</v>
      </c>
      <c r="D49" t="s">
        <v>110</v>
      </c>
      <c r="E49" t="s">
        <v>42</v>
      </c>
      <c r="F49" s="3">
        <v>5.74</v>
      </c>
      <c r="G49">
        <v>1756</v>
      </c>
      <c r="H49" s="3">
        <f t="shared" si="0"/>
        <v>10079.44</v>
      </c>
      <c r="I49" s="3">
        <v>0</v>
      </c>
      <c r="J49" s="3">
        <v>10079.44</v>
      </c>
      <c r="K49" t="s">
        <v>61</v>
      </c>
      <c r="L49" t="s">
        <v>79</v>
      </c>
      <c r="M49" t="s">
        <v>27</v>
      </c>
      <c r="N49" t="str">
        <f t="shared" si="1"/>
        <v>Aug</v>
      </c>
    </row>
    <row r="50" spans="1:14" x14ac:dyDescent="0.3">
      <c r="A50" t="s">
        <v>184</v>
      </c>
      <c r="B50" t="s">
        <v>185</v>
      </c>
      <c r="C50" t="s">
        <v>186</v>
      </c>
      <c r="D50" t="s">
        <v>66</v>
      </c>
      <c r="E50" t="s">
        <v>17</v>
      </c>
      <c r="F50" s="3">
        <v>5.49</v>
      </c>
      <c r="G50">
        <v>280</v>
      </c>
      <c r="H50" s="3">
        <f t="shared" si="0"/>
        <v>1537.2</v>
      </c>
      <c r="I50" s="3">
        <v>76.86</v>
      </c>
      <c r="J50" s="3">
        <v>1460.34</v>
      </c>
      <c r="K50" t="s">
        <v>119</v>
      </c>
      <c r="L50" t="s">
        <v>52</v>
      </c>
      <c r="M50" t="s">
        <v>27</v>
      </c>
      <c r="N50" t="str">
        <f t="shared" si="1"/>
        <v>Jul</v>
      </c>
    </row>
    <row r="51" spans="1:14" x14ac:dyDescent="0.3">
      <c r="A51" t="s">
        <v>187</v>
      </c>
      <c r="B51" t="s">
        <v>188</v>
      </c>
      <c r="C51" t="s">
        <v>189</v>
      </c>
      <c r="D51" t="s">
        <v>107</v>
      </c>
      <c r="E51" t="s">
        <v>51</v>
      </c>
      <c r="F51" s="3">
        <v>6.98</v>
      </c>
      <c r="G51">
        <v>1727</v>
      </c>
      <c r="H51" s="3">
        <f t="shared" si="0"/>
        <v>12054.460000000001</v>
      </c>
      <c r="I51" s="3">
        <v>0</v>
      </c>
      <c r="J51" s="3">
        <v>12054.46</v>
      </c>
      <c r="K51" t="s">
        <v>61</v>
      </c>
      <c r="L51" t="s">
        <v>79</v>
      </c>
      <c r="M51" t="s">
        <v>62</v>
      </c>
      <c r="N51" t="str">
        <f t="shared" si="1"/>
        <v>Mar</v>
      </c>
    </row>
    <row r="52" spans="1:14" x14ac:dyDescent="0.3">
      <c r="A52" t="s">
        <v>190</v>
      </c>
      <c r="B52" t="s">
        <v>182</v>
      </c>
      <c r="C52" t="s">
        <v>177</v>
      </c>
      <c r="D52" t="s">
        <v>92</v>
      </c>
      <c r="E52" t="s">
        <v>17</v>
      </c>
      <c r="F52" s="3">
        <v>5.85</v>
      </c>
      <c r="G52">
        <v>924</v>
      </c>
      <c r="H52" s="3">
        <f t="shared" si="0"/>
        <v>5405.4</v>
      </c>
      <c r="I52" s="3">
        <v>810.81</v>
      </c>
      <c r="J52" s="3">
        <v>4594.59</v>
      </c>
      <c r="K52" t="s">
        <v>67</v>
      </c>
      <c r="L52" t="s">
        <v>52</v>
      </c>
      <c r="M52" t="s">
        <v>27</v>
      </c>
      <c r="N52" t="str">
        <f t="shared" si="1"/>
        <v>Aug</v>
      </c>
    </row>
    <row r="53" spans="1:14" x14ac:dyDescent="0.3">
      <c r="A53" t="s">
        <v>191</v>
      </c>
      <c r="B53" t="s">
        <v>192</v>
      </c>
      <c r="C53" t="s">
        <v>193</v>
      </c>
      <c r="D53" t="s">
        <v>97</v>
      </c>
      <c r="E53" t="s">
        <v>51</v>
      </c>
      <c r="F53" s="3">
        <v>8.4600000000000009</v>
      </c>
      <c r="G53">
        <v>1316</v>
      </c>
      <c r="H53" s="3">
        <f t="shared" si="0"/>
        <v>11133.36</v>
      </c>
      <c r="I53" s="3">
        <v>1113.3399999999999</v>
      </c>
      <c r="J53" s="3">
        <v>10020.02</v>
      </c>
      <c r="K53" t="s">
        <v>18</v>
      </c>
      <c r="L53" t="s">
        <v>26</v>
      </c>
      <c r="M53" t="s">
        <v>27</v>
      </c>
      <c r="N53" t="str">
        <f t="shared" si="1"/>
        <v>Mar</v>
      </c>
    </row>
    <row r="54" spans="1:14" x14ac:dyDescent="0.3">
      <c r="A54" t="s">
        <v>194</v>
      </c>
      <c r="B54" t="s">
        <v>195</v>
      </c>
      <c r="C54" t="s">
        <v>196</v>
      </c>
      <c r="D54" t="s">
        <v>155</v>
      </c>
      <c r="E54" t="s">
        <v>36</v>
      </c>
      <c r="F54" s="3">
        <v>1.83</v>
      </c>
      <c r="G54">
        <v>521</v>
      </c>
      <c r="H54" s="3">
        <f t="shared" si="0"/>
        <v>953.43000000000006</v>
      </c>
      <c r="I54" s="3">
        <v>143.01</v>
      </c>
      <c r="J54" s="3">
        <v>810.42</v>
      </c>
      <c r="K54" t="s">
        <v>25</v>
      </c>
      <c r="L54" t="s">
        <v>19</v>
      </c>
      <c r="M54" t="s">
        <v>37</v>
      </c>
      <c r="N54" t="str">
        <f t="shared" si="1"/>
        <v>Jun</v>
      </c>
    </row>
    <row r="55" spans="1:14" x14ac:dyDescent="0.3">
      <c r="A55" t="s">
        <v>197</v>
      </c>
      <c r="B55" t="s">
        <v>198</v>
      </c>
      <c r="C55" t="s">
        <v>199</v>
      </c>
      <c r="D55" t="s">
        <v>107</v>
      </c>
      <c r="E55" t="s">
        <v>36</v>
      </c>
      <c r="F55" s="3">
        <v>11.2</v>
      </c>
      <c r="G55">
        <v>806</v>
      </c>
      <c r="H55" s="3">
        <f t="shared" si="0"/>
        <v>9027.1999999999989</v>
      </c>
      <c r="I55" s="3">
        <v>1354.08</v>
      </c>
      <c r="J55" s="3">
        <v>7673.12</v>
      </c>
      <c r="K55" t="s">
        <v>119</v>
      </c>
      <c r="L55" t="s">
        <v>26</v>
      </c>
      <c r="M55" t="s">
        <v>62</v>
      </c>
      <c r="N55" t="str">
        <f t="shared" si="1"/>
        <v>Aug</v>
      </c>
    </row>
    <row r="56" spans="1:14" x14ac:dyDescent="0.3">
      <c r="A56" t="s">
        <v>200</v>
      </c>
      <c r="B56" t="s">
        <v>201</v>
      </c>
      <c r="C56" t="s">
        <v>202</v>
      </c>
      <c r="D56" t="s">
        <v>16</v>
      </c>
      <c r="E56" t="s">
        <v>24</v>
      </c>
      <c r="F56" s="3">
        <v>12.01</v>
      </c>
      <c r="G56">
        <v>468</v>
      </c>
      <c r="H56" s="3">
        <f t="shared" si="0"/>
        <v>5620.68</v>
      </c>
      <c r="I56" s="3">
        <v>281.02999999999997</v>
      </c>
      <c r="J56" s="3">
        <v>5339.65</v>
      </c>
      <c r="K56" t="s">
        <v>25</v>
      </c>
      <c r="L56" t="s">
        <v>52</v>
      </c>
      <c r="M56" t="s">
        <v>93</v>
      </c>
      <c r="N56" t="str">
        <f t="shared" si="1"/>
        <v>Dec</v>
      </c>
    </row>
    <row r="57" spans="1:14" x14ac:dyDescent="0.3">
      <c r="A57" t="s">
        <v>203</v>
      </c>
      <c r="B57" t="s">
        <v>204</v>
      </c>
      <c r="C57" t="s">
        <v>122</v>
      </c>
      <c r="D57" t="s">
        <v>82</v>
      </c>
      <c r="E57" t="s">
        <v>32</v>
      </c>
      <c r="F57" s="3">
        <v>3.3</v>
      </c>
      <c r="G57">
        <v>971</v>
      </c>
      <c r="H57" s="3">
        <f t="shared" si="0"/>
        <v>3204.2999999999997</v>
      </c>
      <c r="I57" s="3">
        <v>320.43</v>
      </c>
      <c r="J57" s="3">
        <v>2883.87</v>
      </c>
      <c r="K57" t="s">
        <v>119</v>
      </c>
      <c r="L57" t="s">
        <v>52</v>
      </c>
      <c r="M57" t="s">
        <v>20</v>
      </c>
      <c r="N57" t="str">
        <f t="shared" si="1"/>
        <v>Oct</v>
      </c>
    </row>
    <row r="58" spans="1:14" x14ac:dyDescent="0.3">
      <c r="A58" t="s">
        <v>205</v>
      </c>
      <c r="B58" t="s">
        <v>206</v>
      </c>
      <c r="C58" t="s">
        <v>85</v>
      </c>
      <c r="D58" t="s">
        <v>114</v>
      </c>
      <c r="E58" t="s">
        <v>32</v>
      </c>
      <c r="F58" s="3">
        <v>5</v>
      </c>
      <c r="G58">
        <v>526</v>
      </c>
      <c r="H58" s="3">
        <f t="shared" si="0"/>
        <v>2630</v>
      </c>
      <c r="I58" s="3">
        <v>263</v>
      </c>
      <c r="J58" s="3">
        <v>2367</v>
      </c>
      <c r="K58" t="s">
        <v>25</v>
      </c>
      <c r="L58" t="s">
        <v>52</v>
      </c>
      <c r="M58" t="s">
        <v>27</v>
      </c>
      <c r="N58" t="str">
        <f t="shared" si="1"/>
        <v>Aug</v>
      </c>
    </row>
    <row r="59" spans="1:14" x14ac:dyDescent="0.3">
      <c r="A59" t="s">
        <v>207</v>
      </c>
      <c r="B59" t="s">
        <v>208</v>
      </c>
      <c r="C59" t="s">
        <v>209</v>
      </c>
      <c r="D59" t="s">
        <v>60</v>
      </c>
      <c r="E59" t="s">
        <v>24</v>
      </c>
      <c r="F59" s="3">
        <v>11.13</v>
      </c>
      <c r="G59">
        <v>500</v>
      </c>
      <c r="H59" s="3">
        <f t="shared" si="0"/>
        <v>5565</v>
      </c>
      <c r="I59" s="3">
        <v>556.5</v>
      </c>
      <c r="J59" s="3">
        <v>5008.5</v>
      </c>
      <c r="K59" t="s">
        <v>61</v>
      </c>
      <c r="L59" t="s">
        <v>79</v>
      </c>
      <c r="M59" t="s">
        <v>20</v>
      </c>
      <c r="N59" t="str">
        <f t="shared" si="1"/>
        <v>May</v>
      </c>
    </row>
    <row r="60" spans="1:14" x14ac:dyDescent="0.3">
      <c r="A60" t="s">
        <v>210</v>
      </c>
      <c r="B60" t="s">
        <v>139</v>
      </c>
      <c r="C60" t="s">
        <v>211</v>
      </c>
      <c r="D60" t="s">
        <v>71</v>
      </c>
      <c r="E60" t="s">
        <v>36</v>
      </c>
      <c r="F60" s="3">
        <v>6.67</v>
      </c>
      <c r="G60">
        <v>332</v>
      </c>
      <c r="H60" s="3">
        <f t="shared" si="0"/>
        <v>2214.44</v>
      </c>
      <c r="I60" s="3">
        <v>110.72</v>
      </c>
      <c r="J60" s="3">
        <v>2103.7199999999998</v>
      </c>
      <c r="K60" t="s">
        <v>18</v>
      </c>
      <c r="L60" t="s">
        <v>52</v>
      </c>
      <c r="M60" t="s">
        <v>37</v>
      </c>
      <c r="N60" t="str">
        <f t="shared" si="1"/>
        <v>Feb</v>
      </c>
    </row>
    <row r="61" spans="1:14" x14ac:dyDescent="0.3">
      <c r="A61" t="s">
        <v>212</v>
      </c>
      <c r="B61" t="s">
        <v>213</v>
      </c>
      <c r="C61" t="s">
        <v>214</v>
      </c>
      <c r="D61" t="s">
        <v>60</v>
      </c>
      <c r="E61" t="s">
        <v>32</v>
      </c>
      <c r="F61" s="3">
        <v>2.34</v>
      </c>
      <c r="G61">
        <v>1725</v>
      </c>
      <c r="H61" s="3">
        <f t="shared" si="0"/>
        <v>4036.4999999999995</v>
      </c>
      <c r="I61" s="3">
        <v>605.48</v>
      </c>
      <c r="J61" s="3">
        <v>3431.02</v>
      </c>
      <c r="K61" t="s">
        <v>119</v>
      </c>
      <c r="L61" t="s">
        <v>19</v>
      </c>
      <c r="M61" t="s">
        <v>20</v>
      </c>
      <c r="N61" t="str">
        <f t="shared" si="1"/>
        <v>Jun</v>
      </c>
    </row>
    <row r="62" spans="1:14" x14ac:dyDescent="0.3">
      <c r="A62" t="s">
        <v>215</v>
      </c>
      <c r="B62" t="s">
        <v>216</v>
      </c>
      <c r="C62" t="s">
        <v>217</v>
      </c>
      <c r="D62" t="s">
        <v>16</v>
      </c>
      <c r="E62" t="s">
        <v>51</v>
      </c>
      <c r="F62" s="3">
        <v>5.53</v>
      </c>
      <c r="G62">
        <v>818</v>
      </c>
      <c r="H62" s="3">
        <f t="shared" si="0"/>
        <v>4523.54</v>
      </c>
      <c r="I62" s="3">
        <v>678.53</v>
      </c>
      <c r="J62" s="3">
        <v>3845.01</v>
      </c>
      <c r="K62" t="s">
        <v>25</v>
      </c>
      <c r="L62" t="s">
        <v>26</v>
      </c>
      <c r="M62" t="s">
        <v>37</v>
      </c>
      <c r="N62" t="str">
        <f t="shared" si="1"/>
        <v>Jul</v>
      </c>
    </row>
    <row r="63" spans="1:14" x14ac:dyDescent="0.3">
      <c r="A63" t="s">
        <v>218</v>
      </c>
      <c r="B63" t="s">
        <v>219</v>
      </c>
      <c r="C63" t="s">
        <v>220</v>
      </c>
      <c r="D63" t="s">
        <v>78</v>
      </c>
      <c r="E63" t="s">
        <v>32</v>
      </c>
      <c r="F63" s="3">
        <v>1.89</v>
      </c>
      <c r="G63">
        <v>708</v>
      </c>
      <c r="H63" s="3">
        <f t="shared" si="0"/>
        <v>1338.12</v>
      </c>
      <c r="I63" s="3">
        <v>200.72</v>
      </c>
      <c r="J63" s="3">
        <v>1137.4000000000001</v>
      </c>
      <c r="K63" t="s">
        <v>67</v>
      </c>
      <c r="L63" t="s">
        <v>52</v>
      </c>
      <c r="M63" t="s">
        <v>62</v>
      </c>
      <c r="N63" t="str">
        <f t="shared" si="1"/>
        <v>Apr</v>
      </c>
    </row>
    <row r="64" spans="1:14" x14ac:dyDescent="0.3">
      <c r="A64" t="s">
        <v>221</v>
      </c>
      <c r="B64" t="s">
        <v>145</v>
      </c>
      <c r="C64" t="s">
        <v>222</v>
      </c>
      <c r="D64" t="s">
        <v>16</v>
      </c>
      <c r="E64" t="s">
        <v>32</v>
      </c>
      <c r="F64" s="3">
        <v>9.49</v>
      </c>
      <c r="G64">
        <v>1377</v>
      </c>
      <c r="H64" s="3">
        <f t="shared" si="0"/>
        <v>13067.73</v>
      </c>
      <c r="I64" s="3">
        <v>0</v>
      </c>
      <c r="J64" s="3">
        <v>13067.73</v>
      </c>
      <c r="K64" t="s">
        <v>18</v>
      </c>
      <c r="L64" t="s">
        <v>52</v>
      </c>
      <c r="M64" t="s">
        <v>62</v>
      </c>
      <c r="N64" t="str">
        <f t="shared" si="1"/>
        <v>Nov</v>
      </c>
    </row>
    <row r="65" spans="1:14" x14ac:dyDescent="0.3">
      <c r="A65" t="s">
        <v>223</v>
      </c>
      <c r="B65" t="s">
        <v>121</v>
      </c>
      <c r="C65" t="s">
        <v>224</v>
      </c>
      <c r="D65" t="s">
        <v>225</v>
      </c>
      <c r="E65" t="s">
        <v>51</v>
      </c>
      <c r="F65" s="3">
        <v>6.62</v>
      </c>
      <c r="G65">
        <v>453</v>
      </c>
      <c r="H65" s="3">
        <f t="shared" si="0"/>
        <v>2998.86</v>
      </c>
      <c r="I65" s="3">
        <v>449.83</v>
      </c>
      <c r="J65" s="3">
        <v>2549.0300000000002</v>
      </c>
      <c r="K65" t="s">
        <v>61</v>
      </c>
      <c r="L65" t="s">
        <v>79</v>
      </c>
      <c r="M65" t="s">
        <v>37</v>
      </c>
      <c r="N65" t="str">
        <f t="shared" si="1"/>
        <v>Aug</v>
      </c>
    </row>
    <row r="66" spans="1:14" x14ac:dyDescent="0.3">
      <c r="A66" t="s">
        <v>226</v>
      </c>
      <c r="B66" t="s">
        <v>173</v>
      </c>
      <c r="C66" t="s">
        <v>227</v>
      </c>
      <c r="D66" t="s">
        <v>78</v>
      </c>
      <c r="E66" t="s">
        <v>51</v>
      </c>
      <c r="F66" s="3">
        <v>12.77</v>
      </c>
      <c r="G66">
        <v>983</v>
      </c>
      <c r="H66" s="3">
        <f t="shared" si="0"/>
        <v>12552.91</v>
      </c>
      <c r="I66" s="3">
        <v>0</v>
      </c>
      <c r="J66" s="3">
        <v>12552.91</v>
      </c>
      <c r="K66" t="s">
        <v>25</v>
      </c>
      <c r="L66" t="s">
        <v>19</v>
      </c>
      <c r="M66" t="s">
        <v>53</v>
      </c>
      <c r="N66" t="str">
        <f t="shared" si="1"/>
        <v>May</v>
      </c>
    </row>
    <row r="67" spans="1:14" x14ac:dyDescent="0.3">
      <c r="A67" t="s">
        <v>228</v>
      </c>
      <c r="B67" t="s">
        <v>229</v>
      </c>
      <c r="C67" t="s">
        <v>230</v>
      </c>
      <c r="D67" t="s">
        <v>97</v>
      </c>
      <c r="E67" t="s">
        <v>17</v>
      </c>
      <c r="F67" s="3">
        <v>2.04</v>
      </c>
      <c r="G67">
        <v>83</v>
      </c>
      <c r="H67" s="3">
        <f t="shared" ref="H67:H130" si="2">F67*G67</f>
        <v>169.32</v>
      </c>
      <c r="I67" s="3">
        <v>8.4700000000000006</v>
      </c>
      <c r="J67" s="3">
        <v>160.85</v>
      </c>
      <c r="K67" t="s">
        <v>67</v>
      </c>
      <c r="L67" t="s">
        <v>19</v>
      </c>
      <c r="M67" t="s">
        <v>20</v>
      </c>
      <c r="N67" t="str">
        <f t="shared" ref="N67:N130" si="3">TEXT(B67,"mmm")</f>
        <v>Apr</v>
      </c>
    </row>
    <row r="68" spans="1:14" x14ac:dyDescent="0.3">
      <c r="A68" t="s">
        <v>231</v>
      </c>
      <c r="B68" t="s">
        <v>232</v>
      </c>
      <c r="C68" t="s">
        <v>233</v>
      </c>
      <c r="D68" t="s">
        <v>71</v>
      </c>
      <c r="E68" t="s">
        <v>32</v>
      </c>
      <c r="F68" s="3">
        <v>10.54</v>
      </c>
      <c r="G68">
        <v>1175</v>
      </c>
      <c r="H68" s="3">
        <f t="shared" si="2"/>
        <v>12384.499999999998</v>
      </c>
      <c r="I68" s="3">
        <v>619.23</v>
      </c>
      <c r="J68" s="3">
        <v>11765.27</v>
      </c>
      <c r="K68" t="s">
        <v>119</v>
      </c>
      <c r="L68" t="s">
        <v>79</v>
      </c>
      <c r="M68" t="s">
        <v>53</v>
      </c>
      <c r="N68" t="str">
        <f t="shared" si="3"/>
        <v>Mar</v>
      </c>
    </row>
    <row r="69" spans="1:14" x14ac:dyDescent="0.3">
      <c r="A69" t="s">
        <v>234</v>
      </c>
      <c r="B69" t="s">
        <v>235</v>
      </c>
      <c r="C69" t="s">
        <v>236</v>
      </c>
      <c r="D69" t="s">
        <v>92</v>
      </c>
      <c r="E69" t="s">
        <v>17</v>
      </c>
      <c r="F69" s="3">
        <v>11.2</v>
      </c>
      <c r="G69">
        <v>1612</v>
      </c>
      <c r="H69" s="3">
        <f t="shared" si="2"/>
        <v>18054.399999999998</v>
      </c>
      <c r="I69" s="3">
        <v>902.72</v>
      </c>
      <c r="J69" s="3">
        <v>17151.68</v>
      </c>
      <c r="K69" t="s">
        <v>61</v>
      </c>
      <c r="L69" t="s">
        <v>19</v>
      </c>
      <c r="M69" t="s">
        <v>20</v>
      </c>
      <c r="N69" t="str">
        <f t="shared" si="3"/>
        <v>Mar</v>
      </c>
    </row>
    <row r="70" spans="1:14" x14ac:dyDescent="0.3">
      <c r="A70" t="s">
        <v>237</v>
      </c>
      <c r="B70" t="s">
        <v>238</v>
      </c>
      <c r="C70" t="s">
        <v>239</v>
      </c>
      <c r="D70" t="s">
        <v>107</v>
      </c>
      <c r="E70" t="s">
        <v>17</v>
      </c>
      <c r="F70" s="3">
        <v>13.76</v>
      </c>
      <c r="G70">
        <v>788</v>
      </c>
      <c r="H70" s="3">
        <f t="shared" si="2"/>
        <v>10842.88</v>
      </c>
      <c r="I70" s="3">
        <v>1626.43</v>
      </c>
      <c r="J70" s="3">
        <v>9216.4500000000007</v>
      </c>
      <c r="K70" t="s">
        <v>67</v>
      </c>
      <c r="L70" t="s">
        <v>19</v>
      </c>
      <c r="M70" t="s">
        <v>20</v>
      </c>
      <c r="N70" t="str">
        <f t="shared" si="3"/>
        <v>Jan</v>
      </c>
    </row>
    <row r="71" spans="1:14" x14ac:dyDescent="0.3">
      <c r="A71" t="s">
        <v>240</v>
      </c>
      <c r="B71" t="s">
        <v>241</v>
      </c>
      <c r="C71" t="s">
        <v>88</v>
      </c>
      <c r="D71" t="s">
        <v>50</v>
      </c>
      <c r="E71" t="s">
        <v>24</v>
      </c>
      <c r="F71" s="3">
        <v>10.91</v>
      </c>
      <c r="G71">
        <v>637</v>
      </c>
      <c r="H71" s="3">
        <f t="shared" si="2"/>
        <v>6949.67</v>
      </c>
      <c r="I71" s="3">
        <v>0</v>
      </c>
      <c r="J71" s="3">
        <v>6949.67</v>
      </c>
      <c r="K71" t="s">
        <v>25</v>
      </c>
      <c r="L71" t="s">
        <v>19</v>
      </c>
      <c r="M71" t="s">
        <v>53</v>
      </c>
      <c r="N71" t="str">
        <f t="shared" si="3"/>
        <v>Dec</v>
      </c>
    </row>
    <row r="72" spans="1:14" x14ac:dyDescent="0.3">
      <c r="A72" t="s">
        <v>242</v>
      </c>
      <c r="B72" t="s">
        <v>243</v>
      </c>
      <c r="C72" t="s">
        <v>244</v>
      </c>
      <c r="D72" t="s">
        <v>41</v>
      </c>
      <c r="E72" t="s">
        <v>24</v>
      </c>
      <c r="F72" s="3">
        <v>8.33</v>
      </c>
      <c r="G72">
        <v>718</v>
      </c>
      <c r="H72" s="3">
        <f t="shared" si="2"/>
        <v>5980.94</v>
      </c>
      <c r="I72" s="3">
        <v>0</v>
      </c>
      <c r="J72" s="3">
        <v>5980.94</v>
      </c>
      <c r="K72" t="s">
        <v>119</v>
      </c>
      <c r="L72" t="s">
        <v>52</v>
      </c>
      <c r="M72" t="s">
        <v>93</v>
      </c>
      <c r="N72" t="str">
        <f t="shared" si="3"/>
        <v>Sep</v>
      </c>
    </row>
    <row r="73" spans="1:14" x14ac:dyDescent="0.3">
      <c r="A73" t="s">
        <v>245</v>
      </c>
      <c r="B73" t="s">
        <v>246</v>
      </c>
      <c r="C73" t="s">
        <v>74</v>
      </c>
      <c r="D73" t="s">
        <v>60</v>
      </c>
      <c r="E73" t="s">
        <v>17</v>
      </c>
      <c r="F73" s="3">
        <v>3.57</v>
      </c>
      <c r="G73">
        <v>380</v>
      </c>
      <c r="H73" s="3">
        <f t="shared" si="2"/>
        <v>1356.6</v>
      </c>
      <c r="I73" s="3">
        <v>135.66</v>
      </c>
      <c r="J73" s="3">
        <v>1220.94</v>
      </c>
      <c r="K73" t="s">
        <v>25</v>
      </c>
      <c r="L73" t="s">
        <v>52</v>
      </c>
      <c r="M73" t="s">
        <v>37</v>
      </c>
      <c r="N73" t="str">
        <f t="shared" si="3"/>
        <v>Aug</v>
      </c>
    </row>
    <row r="74" spans="1:14" x14ac:dyDescent="0.3">
      <c r="A74" t="s">
        <v>247</v>
      </c>
      <c r="B74" t="s">
        <v>248</v>
      </c>
      <c r="C74" t="s">
        <v>249</v>
      </c>
      <c r="D74" t="s">
        <v>107</v>
      </c>
      <c r="E74" t="s">
        <v>51</v>
      </c>
      <c r="F74" s="3">
        <v>5.85</v>
      </c>
      <c r="G74">
        <v>522</v>
      </c>
      <c r="H74" s="3">
        <f t="shared" si="2"/>
        <v>3053.7</v>
      </c>
      <c r="I74" s="3">
        <v>0</v>
      </c>
      <c r="J74" s="3">
        <v>3053.7</v>
      </c>
      <c r="K74" t="s">
        <v>61</v>
      </c>
      <c r="L74" t="s">
        <v>52</v>
      </c>
      <c r="M74" t="s">
        <v>62</v>
      </c>
      <c r="N74" t="str">
        <f t="shared" si="3"/>
        <v>Aug</v>
      </c>
    </row>
    <row r="75" spans="1:14" x14ac:dyDescent="0.3">
      <c r="A75" t="s">
        <v>250</v>
      </c>
      <c r="B75" t="s">
        <v>251</v>
      </c>
      <c r="C75" t="s">
        <v>96</v>
      </c>
      <c r="D75" t="s">
        <v>92</v>
      </c>
      <c r="E75" t="s">
        <v>17</v>
      </c>
      <c r="F75" s="3">
        <v>6.62</v>
      </c>
      <c r="G75">
        <v>78</v>
      </c>
      <c r="H75" s="3">
        <f t="shared" si="2"/>
        <v>516.36</v>
      </c>
      <c r="I75" s="3">
        <v>77.45</v>
      </c>
      <c r="J75" s="3">
        <v>438.91</v>
      </c>
      <c r="K75" t="s">
        <v>61</v>
      </c>
      <c r="L75" t="s">
        <v>26</v>
      </c>
      <c r="M75" t="s">
        <v>37</v>
      </c>
      <c r="N75" t="str">
        <f t="shared" si="3"/>
        <v>Aug</v>
      </c>
    </row>
    <row r="76" spans="1:14" x14ac:dyDescent="0.3">
      <c r="A76" t="s">
        <v>252</v>
      </c>
      <c r="B76" t="s">
        <v>253</v>
      </c>
      <c r="C76" t="s">
        <v>254</v>
      </c>
      <c r="D76" t="s">
        <v>35</v>
      </c>
      <c r="E76" t="s">
        <v>51</v>
      </c>
      <c r="F76" s="3">
        <v>5.28</v>
      </c>
      <c r="G76">
        <v>1240</v>
      </c>
      <c r="H76" s="3">
        <f t="shared" si="2"/>
        <v>6547.2000000000007</v>
      </c>
      <c r="I76" s="3">
        <v>654.72</v>
      </c>
      <c r="J76" s="3">
        <v>5892.48</v>
      </c>
      <c r="K76" t="s">
        <v>25</v>
      </c>
      <c r="L76" t="s">
        <v>19</v>
      </c>
      <c r="M76" t="s">
        <v>20</v>
      </c>
      <c r="N76" t="str">
        <f t="shared" si="3"/>
        <v>Apr</v>
      </c>
    </row>
    <row r="77" spans="1:14" x14ac:dyDescent="0.3">
      <c r="A77" t="s">
        <v>255</v>
      </c>
      <c r="B77" t="s">
        <v>256</v>
      </c>
      <c r="C77" t="s">
        <v>257</v>
      </c>
      <c r="D77" t="s">
        <v>50</v>
      </c>
      <c r="E77" t="s">
        <v>17</v>
      </c>
      <c r="F77" s="3">
        <v>6.99</v>
      </c>
      <c r="G77">
        <v>1157</v>
      </c>
      <c r="H77" s="3">
        <f t="shared" si="2"/>
        <v>8087.43</v>
      </c>
      <c r="I77" s="3">
        <v>404.37</v>
      </c>
      <c r="J77" s="3">
        <v>7683.06</v>
      </c>
      <c r="K77" t="s">
        <v>119</v>
      </c>
      <c r="L77" t="s">
        <v>52</v>
      </c>
      <c r="M77" t="s">
        <v>37</v>
      </c>
      <c r="N77" t="str">
        <f t="shared" si="3"/>
        <v>Apr</v>
      </c>
    </row>
    <row r="78" spans="1:14" x14ac:dyDescent="0.3">
      <c r="A78" t="s">
        <v>258</v>
      </c>
      <c r="B78" t="s">
        <v>259</v>
      </c>
      <c r="C78" t="s">
        <v>158</v>
      </c>
      <c r="D78" t="s">
        <v>46</v>
      </c>
      <c r="E78" t="s">
        <v>36</v>
      </c>
      <c r="F78" s="3">
        <v>6.96</v>
      </c>
      <c r="G78">
        <v>518</v>
      </c>
      <c r="H78" s="3">
        <f t="shared" si="2"/>
        <v>3605.28</v>
      </c>
      <c r="I78" s="3">
        <v>360.53</v>
      </c>
      <c r="J78" s="3">
        <v>3244.75</v>
      </c>
      <c r="K78" t="s">
        <v>25</v>
      </c>
      <c r="L78" t="s">
        <v>79</v>
      </c>
      <c r="M78" t="s">
        <v>37</v>
      </c>
      <c r="N78" t="str">
        <f t="shared" si="3"/>
        <v>Jan</v>
      </c>
    </row>
    <row r="79" spans="1:14" x14ac:dyDescent="0.3">
      <c r="A79" t="s">
        <v>260</v>
      </c>
      <c r="B79" t="s">
        <v>150</v>
      </c>
      <c r="C79" t="s">
        <v>261</v>
      </c>
      <c r="D79" t="s">
        <v>41</v>
      </c>
      <c r="E79" t="s">
        <v>32</v>
      </c>
      <c r="F79" s="3">
        <v>14.95</v>
      </c>
      <c r="G79">
        <v>1147</v>
      </c>
      <c r="H79" s="3">
        <f t="shared" si="2"/>
        <v>17147.649999999998</v>
      </c>
      <c r="I79" s="3">
        <v>1714.77</v>
      </c>
      <c r="J79" s="3">
        <v>15432.88</v>
      </c>
      <c r="K79" t="s">
        <v>61</v>
      </c>
      <c r="L79" t="s">
        <v>52</v>
      </c>
      <c r="M79" t="s">
        <v>53</v>
      </c>
      <c r="N79" t="str">
        <f t="shared" si="3"/>
        <v>Oct</v>
      </c>
    </row>
    <row r="80" spans="1:14" x14ac:dyDescent="0.3">
      <c r="A80" t="s">
        <v>262</v>
      </c>
      <c r="B80" t="s">
        <v>263</v>
      </c>
      <c r="C80" t="s">
        <v>264</v>
      </c>
      <c r="D80" t="s">
        <v>50</v>
      </c>
      <c r="E80" t="s">
        <v>24</v>
      </c>
      <c r="F80" s="3">
        <v>11.24</v>
      </c>
      <c r="G80">
        <v>666</v>
      </c>
      <c r="H80" s="3">
        <f t="shared" si="2"/>
        <v>7485.84</v>
      </c>
      <c r="I80" s="3">
        <v>0</v>
      </c>
      <c r="J80" s="3">
        <v>7485.84</v>
      </c>
      <c r="K80" t="s">
        <v>25</v>
      </c>
      <c r="L80" t="s">
        <v>26</v>
      </c>
      <c r="M80" t="s">
        <v>62</v>
      </c>
      <c r="N80" t="str">
        <f t="shared" si="3"/>
        <v>Jun</v>
      </c>
    </row>
    <row r="81" spans="1:14" x14ac:dyDescent="0.3">
      <c r="A81" t="s">
        <v>265</v>
      </c>
      <c r="B81" t="s">
        <v>266</v>
      </c>
      <c r="C81" t="s">
        <v>267</v>
      </c>
      <c r="D81" t="s">
        <v>114</v>
      </c>
      <c r="E81" t="s">
        <v>51</v>
      </c>
      <c r="F81" s="3">
        <v>11.28</v>
      </c>
      <c r="G81">
        <v>1576</v>
      </c>
      <c r="H81" s="3">
        <f t="shared" si="2"/>
        <v>17777.28</v>
      </c>
      <c r="I81" s="3">
        <v>1777.73</v>
      </c>
      <c r="J81" s="3">
        <v>15999.55</v>
      </c>
      <c r="K81" t="s">
        <v>18</v>
      </c>
      <c r="L81" t="s">
        <v>26</v>
      </c>
      <c r="M81" t="s">
        <v>53</v>
      </c>
      <c r="N81" t="str">
        <f t="shared" si="3"/>
        <v>Apr</v>
      </c>
    </row>
    <row r="82" spans="1:14" x14ac:dyDescent="0.3">
      <c r="A82" t="s">
        <v>268</v>
      </c>
      <c r="B82" t="s">
        <v>269</v>
      </c>
      <c r="C82" t="s">
        <v>74</v>
      </c>
      <c r="D82" t="s">
        <v>270</v>
      </c>
      <c r="E82" t="s">
        <v>51</v>
      </c>
      <c r="F82" s="3">
        <v>1.69</v>
      </c>
      <c r="G82">
        <v>1113</v>
      </c>
      <c r="H82" s="3">
        <f t="shared" si="2"/>
        <v>1880.97</v>
      </c>
      <c r="I82" s="3">
        <v>94.05</v>
      </c>
      <c r="J82" s="3">
        <v>1786.92</v>
      </c>
      <c r="K82" t="s">
        <v>61</v>
      </c>
      <c r="L82" t="s">
        <v>19</v>
      </c>
      <c r="M82" t="s">
        <v>93</v>
      </c>
      <c r="N82" t="str">
        <f t="shared" si="3"/>
        <v>Apr</v>
      </c>
    </row>
    <row r="83" spans="1:14" x14ac:dyDescent="0.3">
      <c r="A83" t="s">
        <v>271</v>
      </c>
      <c r="B83" t="s">
        <v>150</v>
      </c>
      <c r="C83" t="s">
        <v>272</v>
      </c>
      <c r="D83" t="s">
        <v>71</v>
      </c>
      <c r="E83" t="s">
        <v>17</v>
      </c>
      <c r="F83" s="3">
        <v>13.22</v>
      </c>
      <c r="G83">
        <v>1025</v>
      </c>
      <c r="H83" s="3">
        <f t="shared" si="2"/>
        <v>13550.5</v>
      </c>
      <c r="I83" s="3">
        <v>0</v>
      </c>
      <c r="J83" s="3">
        <v>13550.5</v>
      </c>
      <c r="K83" t="s">
        <v>18</v>
      </c>
      <c r="L83" t="s">
        <v>79</v>
      </c>
      <c r="M83" t="s">
        <v>37</v>
      </c>
      <c r="N83" t="str">
        <f t="shared" si="3"/>
        <v>Oct</v>
      </c>
    </row>
    <row r="84" spans="1:14" x14ac:dyDescent="0.3">
      <c r="A84" t="s">
        <v>273</v>
      </c>
      <c r="B84" t="s">
        <v>274</v>
      </c>
      <c r="C84" t="s">
        <v>275</v>
      </c>
      <c r="D84" t="s">
        <v>110</v>
      </c>
      <c r="E84" t="s">
        <v>36</v>
      </c>
      <c r="F84" s="3">
        <v>14.53</v>
      </c>
      <c r="G84">
        <v>537</v>
      </c>
      <c r="H84" s="3">
        <f t="shared" si="2"/>
        <v>7802.61</v>
      </c>
      <c r="I84" s="3">
        <v>1170.3900000000001</v>
      </c>
      <c r="J84" s="3">
        <v>6632.22</v>
      </c>
      <c r="K84" t="s">
        <v>18</v>
      </c>
      <c r="L84" t="s">
        <v>19</v>
      </c>
      <c r="M84" t="s">
        <v>37</v>
      </c>
      <c r="N84" t="str">
        <f t="shared" si="3"/>
        <v>Sep</v>
      </c>
    </row>
    <row r="85" spans="1:14" x14ac:dyDescent="0.3">
      <c r="A85" t="s">
        <v>276</v>
      </c>
      <c r="B85" t="s">
        <v>277</v>
      </c>
      <c r="C85" t="s">
        <v>278</v>
      </c>
      <c r="D85" t="s">
        <v>107</v>
      </c>
      <c r="E85" t="s">
        <v>17</v>
      </c>
      <c r="F85" s="3">
        <v>10.77</v>
      </c>
      <c r="G85">
        <v>330</v>
      </c>
      <c r="H85" s="3">
        <f t="shared" si="2"/>
        <v>3554.1</v>
      </c>
      <c r="I85" s="3">
        <v>177.71</v>
      </c>
      <c r="J85" s="3">
        <v>3376.39</v>
      </c>
      <c r="K85" t="s">
        <v>25</v>
      </c>
      <c r="L85" t="s">
        <v>79</v>
      </c>
      <c r="M85" t="s">
        <v>93</v>
      </c>
      <c r="N85" t="str">
        <f t="shared" si="3"/>
        <v>Sep</v>
      </c>
    </row>
    <row r="86" spans="1:14" x14ac:dyDescent="0.3">
      <c r="A86" t="s">
        <v>279</v>
      </c>
      <c r="B86" t="s">
        <v>280</v>
      </c>
      <c r="C86" t="s">
        <v>281</v>
      </c>
      <c r="D86" t="s">
        <v>31</v>
      </c>
      <c r="E86" t="s">
        <v>32</v>
      </c>
      <c r="F86" s="3">
        <v>9.69</v>
      </c>
      <c r="G86">
        <v>1639</v>
      </c>
      <c r="H86" s="3">
        <f t="shared" si="2"/>
        <v>15881.91</v>
      </c>
      <c r="I86" s="3">
        <v>794.1</v>
      </c>
      <c r="J86" s="3">
        <v>15087.81</v>
      </c>
      <c r="K86" t="s">
        <v>25</v>
      </c>
      <c r="L86" t="s">
        <v>52</v>
      </c>
      <c r="M86" t="s">
        <v>37</v>
      </c>
      <c r="N86" t="str">
        <f t="shared" si="3"/>
        <v>May</v>
      </c>
    </row>
    <row r="87" spans="1:14" x14ac:dyDescent="0.3">
      <c r="A87" t="s">
        <v>282</v>
      </c>
      <c r="B87" t="s">
        <v>160</v>
      </c>
      <c r="C87" t="s">
        <v>151</v>
      </c>
      <c r="D87" t="s">
        <v>107</v>
      </c>
      <c r="E87" t="s">
        <v>32</v>
      </c>
      <c r="F87" s="3">
        <v>5.62</v>
      </c>
      <c r="G87">
        <v>1291</v>
      </c>
      <c r="H87" s="3">
        <f t="shared" si="2"/>
        <v>7255.42</v>
      </c>
      <c r="I87" s="3">
        <v>0</v>
      </c>
      <c r="J87" s="3">
        <v>7255.42</v>
      </c>
      <c r="K87" t="s">
        <v>25</v>
      </c>
      <c r="L87" t="s">
        <v>19</v>
      </c>
      <c r="M87" t="s">
        <v>62</v>
      </c>
      <c r="N87" t="str">
        <f t="shared" si="3"/>
        <v>Aug</v>
      </c>
    </row>
    <row r="88" spans="1:14" x14ac:dyDescent="0.3">
      <c r="A88" t="s">
        <v>283</v>
      </c>
      <c r="B88" t="s">
        <v>284</v>
      </c>
      <c r="C88" t="s">
        <v>285</v>
      </c>
      <c r="D88" t="s">
        <v>35</v>
      </c>
      <c r="E88" t="s">
        <v>17</v>
      </c>
      <c r="F88" s="3">
        <v>2.6</v>
      </c>
      <c r="G88">
        <v>511</v>
      </c>
      <c r="H88" s="3">
        <f t="shared" si="2"/>
        <v>1328.6000000000001</v>
      </c>
      <c r="I88" s="3">
        <v>66.430000000000007</v>
      </c>
      <c r="J88" s="3">
        <v>1262.17</v>
      </c>
      <c r="K88" t="s">
        <v>25</v>
      </c>
      <c r="L88" t="s">
        <v>19</v>
      </c>
      <c r="M88" t="s">
        <v>62</v>
      </c>
      <c r="N88" t="str">
        <f t="shared" si="3"/>
        <v>Nov</v>
      </c>
    </row>
    <row r="89" spans="1:14" x14ac:dyDescent="0.3">
      <c r="A89" t="s">
        <v>286</v>
      </c>
      <c r="B89" t="s">
        <v>127</v>
      </c>
      <c r="C89" t="s">
        <v>287</v>
      </c>
      <c r="D89" t="s">
        <v>60</v>
      </c>
      <c r="E89" t="s">
        <v>17</v>
      </c>
      <c r="F89" s="3">
        <v>9.52</v>
      </c>
      <c r="G89">
        <v>616</v>
      </c>
      <c r="H89" s="3">
        <f t="shared" si="2"/>
        <v>5864.32</v>
      </c>
      <c r="I89" s="3">
        <v>0</v>
      </c>
      <c r="J89" s="3">
        <v>5864.32</v>
      </c>
      <c r="K89" t="s">
        <v>67</v>
      </c>
      <c r="L89" t="s">
        <v>79</v>
      </c>
      <c r="M89" t="s">
        <v>27</v>
      </c>
      <c r="N89" t="str">
        <f t="shared" si="3"/>
        <v>Jan</v>
      </c>
    </row>
    <row r="90" spans="1:14" x14ac:dyDescent="0.3">
      <c r="A90" t="s">
        <v>288</v>
      </c>
      <c r="B90" t="s">
        <v>153</v>
      </c>
      <c r="C90" t="s">
        <v>30</v>
      </c>
      <c r="D90" t="s">
        <v>60</v>
      </c>
      <c r="E90" t="s">
        <v>24</v>
      </c>
      <c r="F90" s="3">
        <v>10.78</v>
      </c>
      <c r="G90">
        <v>1912</v>
      </c>
      <c r="H90" s="3">
        <f t="shared" si="2"/>
        <v>20611.36</v>
      </c>
      <c r="I90" s="3">
        <v>2061.14</v>
      </c>
      <c r="J90" s="3">
        <v>18550.22</v>
      </c>
      <c r="K90" t="s">
        <v>25</v>
      </c>
      <c r="L90" t="s">
        <v>26</v>
      </c>
      <c r="M90" t="s">
        <v>37</v>
      </c>
      <c r="N90" t="str">
        <f t="shared" si="3"/>
        <v>May</v>
      </c>
    </row>
    <row r="91" spans="1:14" x14ac:dyDescent="0.3">
      <c r="A91" t="s">
        <v>289</v>
      </c>
      <c r="B91" t="s">
        <v>290</v>
      </c>
      <c r="C91" t="s">
        <v>291</v>
      </c>
      <c r="D91" t="s">
        <v>50</v>
      </c>
      <c r="E91" t="s">
        <v>17</v>
      </c>
      <c r="F91" s="3">
        <v>3.51</v>
      </c>
      <c r="G91">
        <v>564</v>
      </c>
      <c r="H91" s="3">
        <f t="shared" si="2"/>
        <v>1979.6399999999999</v>
      </c>
      <c r="I91" s="3">
        <v>98.98</v>
      </c>
      <c r="J91" s="3">
        <v>1880.66</v>
      </c>
      <c r="K91" t="s">
        <v>18</v>
      </c>
      <c r="L91" t="s">
        <v>19</v>
      </c>
      <c r="M91" t="s">
        <v>62</v>
      </c>
      <c r="N91" t="str">
        <f t="shared" si="3"/>
        <v>Feb</v>
      </c>
    </row>
    <row r="92" spans="1:14" x14ac:dyDescent="0.3">
      <c r="A92" t="s">
        <v>292</v>
      </c>
      <c r="B92" t="s">
        <v>293</v>
      </c>
      <c r="C92" t="s">
        <v>294</v>
      </c>
      <c r="D92" t="s">
        <v>107</v>
      </c>
      <c r="E92" t="s">
        <v>51</v>
      </c>
      <c r="F92" s="3">
        <v>7.43</v>
      </c>
      <c r="G92">
        <v>979</v>
      </c>
      <c r="H92" s="3">
        <f t="shared" si="2"/>
        <v>7273.9699999999993</v>
      </c>
      <c r="I92" s="3">
        <v>727.4</v>
      </c>
      <c r="J92" s="3">
        <v>6546.57</v>
      </c>
      <c r="K92" t="s">
        <v>119</v>
      </c>
      <c r="L92" t="s">
        <v>79</v>
      </c>
      <c r="M92" t="s">
        <v>20</v>
      </c>
      <c r="N92" t="str">
        <f t="shared" si="3"/>
        <v>Jun</v>
      </c>
    </row>
    <row r="93" spans="1:14" x14ac:dyDescent="0.3">
      <c r="A93" t="s">
        <v>295</v>
      </c>
      <c r="B93" t="s">
        <v>296</v>
      </c>
      <c r="C93" t="s">
        <v>297</v>
      </c>
      <c r="D93" t="s">
        <v>60</v>
      </c>
      <c r="E93" t="s">
        <v>24</v>
      </c>
      <c r="F93" s="3">
        <v>9.57</v>
      </c>
      <c r="G93">
        <v>1841</v>
      </c>
      <c r="H93" s="3">
        <f t="shared" si="2"/>
        <v>17618.37</v>
      </c>
      <c r="I93" s="3">
        <v>2642.76</v>
      </c>
      <c r="J93" s="3">
        <v>14975.61</v>
      </c>
      <c r="K93" t="s">
        <v>61</v>
      </c>
      <c r="L93" t="s">
        <v>79</v>
      </c>
      <c r="M93" t="s">
        <v>93</v>
      </c>
      <c r="N93" t="str">
        <f t="shared" si="3"/>
        <v>Oct</v>
      </c>
    </row>
    <row r="94" spans="1:14" x14ac:dyDescent="0.3">
      <c r="A94" t="s">
        <v>298</v>
      </c>
      <c r="B94" t="s">
        <v>299</v>
      </c>
      <c r="C94" t="s">
        <v>300</v>
      </c>
      <c r="D94" t="s">
        <v>107</v>
      </c>
      <c r="E94" t="s">
        <v>42</v>
      </c>
      <c r="F94" s="3">
        <v>14.34</v>
      </c>
      <c r="G94">
        <v>1586</v>
      </c>
      <c r="H94" s="3">
        <f t="shared" si="2"/>
        <v>22743.239999999998</v>
      </c>
      <c r="I94" s="3">
        <v>2274.3200000000002</v>
      </c>
      <c r="J94" s="3">
        <v>20468.919999999998</v>
      </c>
      <c r="K94" t="s">
        <v>25</v>
      </c>
      <c r="L94" t="s">
        <v>19</v>
      </c>
      <c r="M94" t="s">
        <v>62</v>
      </c>
      <c r="N94" t="str">
        <f t="shared" si="3"/>
        <v>Feb</v>
      </c>
    </row>
    <row r="95" spans="1:14" x14ac:dyDescent="0.3">
      <c r="A95" t="s">
        <v>301</v>
      </c>
      <c r="B95" t="s">
        <v>302</v>
      </c>
      <c r="C95" t="s">
        <v>303</v>
      </c>
      <c r="D95" t="s">
        <v>60</v>
      </c>
      <c r="E95" t="s">
        <v>51</v>
      </c>
      <c r="F95" s="3">
        <v>3.95</v>
      </c>
      <c r="G95">
        <v>1218</v>
      </c>
      <c r="H95" s="3">
        <f t="shared" si="2"/>
        <v>4811.1000000000004</v>
      </c>
      <c r="I95" s="3">
        <v>721.67</v>
      </c>
      <c r="J95" s="3">
        <v>4089.43</v>
      </c>
      <c r="K95" t="s">
        <v>119</v>
      </c>
      <c r="L95" t="s">
        <v>19</v>
      </c>
      <c r="M95" t="s">
        <v>37</v>
      </c>
      <c r="N95" t="str">
        <f t="shared" si="3"/>
        <v>Aug</v>
      </c>
    </row>
    <row r="96" spans="1:14" x14ac:dyDescent="0.3">
      <c r="A96" t="s">
        <v>304</v>
      </c>
      <c r="B96" t="s">
        <v>305</v>
      </c>
      <c r="C96" t="s">
        <v>287</v>
      </c>
      <c r="D96" t="s">
        <v>110</v>
      </c>
      <c r="E96" t="s">
        <v>51</v>
      </c>
      <c r="F96" s="3">
        <v>10.55</v>
      </c>
      <c r="G96">
        <v>1776</v>
      </c>
      <c r="H96" s="3">
        <f t="shared" si="2"/>
        <v>18736.800000000003</v>
      </c>
      <c r="I96" s="3">
        <v>936.84</v>
      </c>
      <c r="J96" s="3">
        <v>17799.96</v>
      </c>
      <c r="K96" t="s">
        <v>61</v>
      </c>
      <c r="L96" t="s">
        <v>52</v>
      </c>
      <c r="M96" t="s">
        <v>27</v>
      </c>
      <c r="N96" t="str">
        <f t="shared" si="3"/>
        <v>Jun</v>
      </c>
    </row>
    <row r="97" spans="1:14" x14ac:dyDescent="0.3">
      <c r="A97" t="s">
        <v>306</v>
      </c>
      <c r="B97" t="s">
        <v>307</v>
      </c>
      <c r="C97" t="s">
        <v>308</v>
      </c>
      <c r="D97" t="s">
        <v>66</v>
      </c>
      <c r="E97" t="s">
        <v>42</v>
      </c>
      <c r="F97" s="3">
        <v>2</v>
      </c>
      <c r="G97">
        <v>200</v>
      </c>
      <c r="H97" s="3">
        <f t="shared" si="2"/>
        <v>400</v>
      </c>
      <c r="I97" s="3">
        <v>40</v>
      </c>
      <c r="J97" s="3">
        <v>360</v>
      </c>
      <c r="K97" t="s">
        <v>61</v>
      </c>
      <c r="L97" t="s">
        <v>79</v>
      </c>
      <c r="M97" t="s">
        <v>93</v>
      </c>
      <c r="N97" t="str">
        <f t="shared" si="3"/>
        <v>Sep</v>
      </c>
    </row>
    <row r="98" spans="1:14" x14ac:dyDescent="0.3">
      <c r="A98" t="s">
        <v>309</v>
      </c>
      <c r="B98" t="s">
        <v>310</v>
      </c>
      <c r="C98" t="s">
        <v>311</v>
      </c>
      <c r="D98" t="s">
        <v>16</v>
      </c>
      <c r="E98" t="s">
        <v>17</v>
      </c>
      <c r="F98" s="3">
        <v>13.24</v>
      </c>
      <c r="G98">
        <v>966</v>
      </c>
      <c r="H98" s="3">
        <f t="shared" si="2"/>
        <v>12789.84</v>
      </c>
      <c r="I98" s="3">
        <v>1918.48</v>
      </c>
      <c r="J98" s="3">
        <v>10871.36</v>
      </c>
      <c r="K98" t="s">
        <v>18</v>
      </c>
      <c r="L98" t="s">
        <v>26</v>
      </c>
      <c r="M98" t="s">
        <v>20</v>
      </c>
      <c r="N98" t="str">
        <f t="shared" si="3"/>
        <v>Jul</v>
      </c>
    </row>
    <row r="99" spans="1:14" x14ac:dyDescent="0.3">
      <c r="A99" t="s">
        <v>312</v>
      </c>
      <c r="B99" t="s">
        <v>313</v>
      </c>
      <c r="C99" t="s">
        <v>314</v>
      </c>
      <c r="D99" t="s">
        <v>114</v>
      </c>
      <c r="E99" t="s">
        <v>17</v>
      </c>
      <c r="F99" s="3">
        <v>7.47</v>
      </c>
      <c r="G99">
        <v>125</v>
      </c>
      <c r="H99" s="3">
        <f t="shared" si="2"/>
        <v>933.75</v>
      </c>
      <c r="I99" s="3">
        <v>46.69</v>
      </c>
      <c r="J99" s="3">
        <v>887.06</v>
      </c>
      <c r="K99" t="s">
        <v>61</v>
      </c>
      <c r="L99" t="s">
        <v>26</v>
      </c>
      <c r="M99" t="s">
        <v>53</v>
      </c>
      <c r="N99" t="str">
        <f t="shared" si="3"/>
        <v>Jul</v>
      </c>
    </row>
    <row r="100" spans="1:14" x14ac:dyDescent="0.3">
      <c r="A100" t="s">
        <v>315</v>
      </c>
      <c r="B100" t="s">
        <v>316</v>
      </c>
      <c r="C100" t="s">
        <v>317</v>
      </c>
      <c r="D100" t="s">
        <v>114</v>
      </c>
      <c r="E100" t="s">
        <v>24</v>
      </c>
      <c r="F100" s="3">
        <v>1.89</v>
      </c>
      <c r="G100">
        <v>1310</v>
      </c>
      <c r="H100" s="3">
        <f t="shared" si="2"/>
        <v>2475.9</v>
      </c>
      <c r="I100" s="3">
        <v>123.8</v>
      </c>
      <c r="J100" s="3">
        <v>2352.1</v>
      </c>
      <c r="K100" t="s">
        <v>67</v>
      </c>
      <c r="L100" t="s">
        <v>79</v>
      </c>
      <c r="M100" t="s">
        <v>20</v>
      </c>
      <c r="N100" t="str">
        <f t="shared" si="3"/>
        <v>Aug</v>
      </c>
    </row>
    <row r="101" spans="1:14" x14ac:dyDescent="0.3">
      <c r="A101" t="s">
        <v>318</v>
      </c>
      <c r="B101" t="s">
        <v>319</v>
      </c>
      <c r="C101" t="s">
        <v>45</v>
      </c>
      <c r="D101" t="s">
        <v>78</v>
      </c>
      <c r="E101" t="s">
        <v>24</v>
      </c>
      <c r="F101" s="3">
        <v>4.53</v>
      </c>
      <c r="G101">
        <v>1743</v>
      </c>
      <c r="H101" s="3">
        <f t="shared" si="2"/>
        <v>7895.7900000000009</v>
      </c>
      <c r="I101" s="3">
        <v>0</v>
      </c>
      <c r="J101" s="3">
        <v>7895.79</v>
      </c>
      <c r="K101" t="s">
        <v>119</v>
      </c>
      <c r="L101" t="s">
        <v>19</v>
      </c>
      <c r="M101" t="s">
        <v>27</v>
      </c>
      <c r="N101" t="str">
        <f t="shared" si="3"/>
        <v>Jan</v>
      </c>
    </row>
    <row r="102" spans="1:14" x14ac:dyDescent="0.3">
      <c r="A102" t="s">
        <v>320</v>
      </c>
      <c r="B102" t="s">
        <v>232</v>
      </c>
      <c r="C102" t="s">
        <v>321</v>
      </c>
      <c r="D102" t="s">
        <v>46</v>
      </c>
      <c r="E102" t="s">
        <v>42</v>
      </c>
      <c r="F102" s="3">
        <v>11.02</v>
      </c>
      <c r="G102">
        <v>870</v>
      </c>
      <c r="H102" s="3">
        <f t="shared" si="2"/>
        <v>9587.4</v>
      </c>
      <c r="I102" s="3">
        <v>1438.11</v>
      </c>
      <c r="J102" s="3">
        <v>8149.29</v>
      </c>
      <c r="K102" t="s">
        <v>119</v>
      </c>
      <c r="L102" t="s">
        <v>26</v>
      </c>
      <c r="M102" t="s">
        <v>37</v>
      </c>
      <c r="N102" t="str">
        <f t="shared" si="3"/>
        <v>Mar</v>
      </c>
    </row>
    <row r="103" spans="1:14" x14ac:dyDescent="0.3">
      <c r="A103" t="s">
        <v>322</v>
      </c>
      <c r="B103" t="s">
        <v>323</v>
      </c>
      <c r="C103" t="s">
        <v>324</v>
      </c>
      <c r="D103" t="s">
        <v>66</v>
      </c>
      <c r="E103" t="s">
        <v>36</v>
      </c>
      <c r="F103" s="3">
        <v>13.95</v>
      </c>
      <c r="G103">
        <v>1060</v>
      </c>
      <c r="H103" s="3">
        <f t="shared" si="2"/>
        <v>14787</v>
      </c>
      <c r="I103" s="3">
        <v>739.35</v>
      </c>
      <c r="J103" s="3">
        <v>14047.65</v>
      </c>
      <c r="K103" t="s">
        <v>18</v>
      </c>
      <c r="L103" t="s">
        <v>79</v>
      </c>
      <c r="M103" t="s">
        <v>37</v>
      </c>
      <c r="N103" t="str">
        <f t="shared" si="3"/>
        <v>Oct</v>
      </c>
    </row>
    <row r="104" spans="1:14" x14ac:dyDescent="0.3">
      <c r="A104" t="s">
        <v>325</v>
      </c>
      <c r="B104" t="s">
        <v>326</v>
      </c>
      <c r="C104" t="s">
        <v>327</v>
      </c>
      <c r="D104" t="s">
        <v>35</v>
      </c>
      <c r="E104" t="s">
        <v>24</v>
      </c>
      <c r="F104" s="3">
        <v>5.32</v>
      </c>
      <c r="G104">
        <v>631</v>
      </c>
      <c r="H104" s="3">
        <f t="shared" si="2"/>
        <v>3356.92</v>
      </c>
      <c r="I104" s="3">
        <v>503.54</v>
      </c>
      <c r="J104" s="3">
        <v>2853.38</v>
      </c>
      <c r="K104" t="s">
        <v>67</v>
      </c>
      <c r="L104" t="s">
        <v>52</v>
      </c>
      <c r="M104" t="s">
        <v>20</v>
      </c>
      <c r="N104" t="str">
        <f t="shared" si="3"/>
        <v>Jun</v>
      </c>
    </row>
    <row r="105" spans="1:14" x14ac:dyDescent="0.3">
      <c r="A105" t="s">
        <v>328</v>
      </c>
      <c r="B105" t="s">
        <v>329</v>
      </c>
      <c r="C105" t="s">
        <v>330</v>
      </c>
      <c r="D105" t="s">
        <v>110</v>
      </c>
      <c r="E105" t="s">
        <v>42</v>
      </c>
      <c r="F105" s="3">
        <v>11.8</v>
      </c>
      <c r="G105">
        <v>792</v>
      </c>
      <c r="H105" s="3">
        <f t="shared" si="2"/>
        <v>9345.6</v>
      </c>
      <c r="I105" s="3">
        <v>1401.84</v>
      </c>
      <c r="J105" s="3">
        <v>7943.76</v>
      </c>
      <c r="K105" t="s">
        <v>61</v>
      </c>
      <c r="L105" t="s">
        <v>26</v>
      </c>
      <c r="M105" t="s">
        <v>27</v>
      </c>
      <c r="N105" t="str">
        <f t="shared" si="3"/>
        <v>Sep</v>
      </c>
    </row>
    <row r="106" spans="1:14" x14ac:dyDescent="0.3">
      <c r="A106" t="s">
        <v>331</v>
      </c>
      <c r="B106" t="s">
        <v>208</v>
      </c>
      <c r="C106" t="s">
        <v>332</v>
      </c>
      <c r="D106" t="s">
        <v>66</v>
      </c>
      <c r="E106" t="s">
        <v>36</v>
      </c>
      <c r="F106" s="3">
        <v>13.06</v>
      </c>
      <c r="G106">
        <v>861</v>
      </c>
      <c r="H106" s="3">
        <f t="shared" si="2"/>
        <v>11244.66</v>
      </c>
      <c r="I106" s="3">
        <v>0</v>
      </c>
      <c r="J106" s="3">
        <v>11244.66</v>
      </c>
      <c r="K106" t="s">
        <v>61</v>
      </c>
      <c r="L106" t="s">
        <v>52</v>
      </c>
      <c r="M106" t="s">
        <v>27</v>
      </c>
      <c r="N106" t="str">
        <f t="shared" si="3"/>
        <v>May</v>
      </c>
    </row>
    <row r="107" spans="1:14" x14ac:dyDescent="0.3">
      <c r="A107" t="s">
        <v>333</v>
      </c>
      <c r="B107" t="s">
        <v>334</v>
      </c>
      <c r="C107" t="s">
        <v>335</v>
      </c>
      <c r="D107" t="s">
        <v>71</v>
      </c>
      <c r="E107" t="s">
        <v>32</v>
      </c>
      <c r="F107" s="3">
        <v>14.53</v>
      </c>
      <c r="G107">
        <v>278</v>
      </c>
      <c r="H107" s="3">
        <f t="shared" si="2"/>
        <v>4039.3399999999997</v>
      </c>
      <c r="I107" s="3">
        <v>403.93</v>
      </c>
      <c r="J107" s="3">
        <v>3635.41</v>
      </c>
      <c r="K107" t="s">
        <v>18</v>
      </c>
      <c r="L107" t="s">
        <v>52</v>
      </c>
      <c r="M107" t="s">
        <v>93</v>
      </c>
      <c r="N107" t="str">
        <f t="shared" si="3"/>
        <v>Jul</v>
      </c>
    </row>
    <row r="108" spans="1:14" x14ac:dyDescent="0.3">
      <c r="A108" t="s">
        <v>336</v>
      </c>
      <c r="B108" t="s">
        <v>337</v>
      </c>
      <c r="C108" t="s">
        <v>338</v>
      </c>
      <c r="D108" t="s">
        <v>16</v>
      </c>
      <c r="E108" t="s">
        <v>17</v>
      </c>
      <c r="F108" s="3">
        <v>3.45</v>
      </c>
      <c r="G108">
        <v>1803</v>
      </c>
      <c r="H108" s="3">
        <f t="shared" si="2"/>
        <v>6220.35</v>
      </c>
      <c r="I108" s="3">
        <v>311.02</v>
      </c>
      <c r="J108" s="3">
        <v>5909.33</v>
      </c>
      <c r="K108" t="s">
        <v>18</v>
      </c>
      <c r="L108" t="s">
        <v>52</v>
      </c>
      <c r="M108" t="s">
        <v>53</v>
      </c>
      <c r="N108" t="str">
        <f t="shared" si="3"/>
        <v>Sep</v>
      </c>
    </row>
    <row r="109" spans="1:14" x14ac:dyDescent="0.3">
      <c r="A109" t="s">
        <v>339</v>
      </c>
      <c r="B109" t="s">
        <v>105</v>
      </c>
      <c r="C109" t="s">
        <v>314</v>
      </c>
      <c r="D109" t="s">
        <v>66</v>
      </c>
      <c r="E109" t="s">
        <v>17</v>
      </c>
      <c r="F109" s="3">
        <v>2.58</v>
      </c>
      <c r="G109">
        <v>692</v>
      </c>
      <c r="H109" s="3">
        <f t="shared" si="2"/>
        <v>1785.3600000000001</v>
      </c>
      <c r="I109" s="3">
        <v>267.8</v>
      </c>
      <c r="J109" s="3">
        <v>1517.56</v>
      </c>
      <c r="K109" t="s">
        <v>61</v>
      </c>
      <c r="L109" t="s">
        <v>52</v>
      </c>
      <c r="M109" t="s">
        <v>20</v>
      </c>
      <c r="N109" t="str">
        <f t="shared" si="3"/>
        <v>Jun</v>
      </c>
    </row>
    <row r="110" spans="1:14" x14ac:dyDescent="0.3">
      <c r="A110" t="s">
        <v>340</v>
      </c>
      <c r="B110" t="s">
        <v>341</v>
      </c>
      <c r="C110" t="s">
        <v>342</v>
      </c>
      <c r="D110" t="s">
        <v>97</v>
      </c>
      <c r="E110" t="s">
        <v>36</v>
      </c>
      <c r="F110" s="3">
        <v>10.02</v>
      </c>
      <c r="G110">
        <v>1906</v>
      </c>
      <c r="H110" s="3">
        <f t="shared" si="2"/>
        <v>19098.12</v>
      </c>
      <c r="I110" s="3">
        <v>1909.81</v>
      </c>
      <c r="J110" s="3">
        <v>17188.310000000001</v>
      </c>
      <c r="K110" t="s">
        <v>67</v>
      </c>
      <c r="L110" t="s">
        <v>19</v>
      </c>
      <c r="M110" t="s">
        <v>37</v>
      </c>
      <c r="N110" t="str">
        <f t="shared" si="3"/>
        <v>Jan</v>
      </c>
    </row>
    <row r="111" spans="1:14" x14ac:dyDescent="0.3">
      <c r="A111" t="s">
        <v>343</v>
      </c>
      <c r="B111" t="s">
        <v>344</v>
      </c>
      <c r="C111" t="s">
        <v>345</v>
      </c>
      <c r="D111" t="s">
        <v>82</v>
      </c>
      <c r="E111" t="s">
        <v>32</v>
      </c>
      <c r="F111" s="3">
        <v>3.75</v>
      </c>
      <c r="G111">
        <v>633</v>
      </c>
      <c r="H111" s="3">
        <f t="shared" si="2"/>
        <v>2373.75</v>
      </c>
      <c r="I111" s="3">
        <v>0</v>
      </c>
      <c r="J111" s="3">
        <v>2373.75</v>
      </c>
      <c r="K111" t="s">
        <v>18</v>
      </c>
      <c r="L111" t="s">
        <v>79</v>
      </c>
      <c r="M111" t="s">
        <v>93</v>
      </c>
      <c r="N111" t="str">
        <f t="shared" si="3"/>
        <v>Feb</v>
      </c>
    </row>
    <row r="112" spans="1:14" x14ac:dyDescent="0.3">
      <c r="A112" t="s">
        <v>346</v>
      </c>
      <c r="B112" t="s">
        <v>347</v>
      </c>
      <c r="C112" t="s">
        <v>40</v>
      </c>
      <c r="D112" t="s">
        <v>41</v>
      </c>
      <c r="E112" t="s">
        <v>32</v>
      </c>
      <c r="F112" s="3">
        <v>3.47</v>
      </c>
      <c r="G112">
        <v>1107</v>
      </c>
      <c r="H112" s="3">
        <f t="shared" si="2"/>
        <v>3841.2900000000004</v>
      </c>
      <c r="I112" s="3">
        <v>576.19000000000005</v>
      </c>
      <c r="J112" s="3">
        <v>3265.1</v>
      </c>
      <c r="K112" t="s">
        <v>25</v>
      </c>
      <c r="L112" t="s">
        <v>26</v>
      </c>
      <c r="M112" t="s">
        <v>62</v>
      </c>
      <c r="N112" t="str">
        <f t="shared" si="3"/>
        <v>May</v>
      </c>
    </row>
    <row r="113" spans="1:14" x14ac:dyDescent="0.3">
      <c r="A113" t="s">
        <v>348</v>
      </c>
      <c r="B113" t="s">
        <v>188</v>
      </c>
      <c r="C113" t="s">
        <v>349</v>
      </c>
      <c r="D113" t="s">
        <v>92</v>
      </c>
      <c r="E113" t="s">
        <v>32</v>
      </c>
      <c r="F113" s="3">
        <v>9.8699999999999992</v>
      </c>
      <c r="G113">
        <v>513</v>
      </c>
      <c r="H113" s="3">
        <f t="shared" si="2"/>
        <v>5063.3099999999995</v>
      </c>
      <c r="I113" s="3">
        <v>759.5</v>
      </c>
      <c r="J113" s="3">
        <v>4303.8100000000004</v>
      </c>
      <c r="K113" t="s">
        <v>25</v>
      </c>
      <c r="L113" t="s">
        <v>26</v>
      </c>
      <c r="M113" t="s">
        <v>62</v>
      </c>
      <c r="N113" t="str">
        <f t="shared" si="3"/>
        <v>Mar</v>
      </c>
    </row>
    <row r="114" spans="1:14" x14ac:dyDescent="0.3">
      <c r="A114" t="s">
        <v>350</v>
      </c>
      <c r="B114" t="s">
        <v>121</v>
      </c>
      <c r="C114" t="s">
        <v>351</v>
      </c>
      <c r="D114" t="s">
        <v>35</v>
      </c>
      <c r="E114" t="s">
        <v>32</v>
      </c>
      <c r="F114" s="3">
        <v>4.95</v>
      </c>
      <c r="G114">
        <v>39</v>
      </c>
      <c r="H114" s="3">
        <f t="shared" si="2"/>
        <v>193.05</v>
      </c>
      <c r="I114" s="3">
        <v>28.96</v>
      </c>
      <c r="J114" s="3">
        <v>164.09</v>
      </c>
      <c r="K114" t="s">
        <v>61</v>
      </c>
      <c r="L114" t="s">
        <v>26</v>
      </c>
      <c r="M114" t="s">
        <v>93</v>
      </c>
      <c r="N114" t="str">
        <f t="shared" si="3"/>
        <v>Aug</v>
      </c>
    </row>
    <row r="115" spans="1:14" x14ac:dyDescent="0.3">
      <c r="A115" t="s">
        <v>352</v>
      </c>
      <c r="B115" t="s">
        <v>160</v>
      </c>
      <c r="C115" t="s">
        <v>330</v>
      </c>
      <c r="D115" t="s">
        <v>107</v>
      </c>
      <c r="E115" t="s">
        <v>51</v>
      </c>
      <c r="F115" s="3">
        <v>10.130000000000001</v>
      </c>
      <c r="G115">
        <v>888</v>
      </c>
      <c r="H115" s="3">
        <f t="shared" si="2"/>
        <v>8995.44</v>
      </c>
      <c r="I115" s="3">
        <v>899.54</v>
      </c>
      <c r="J115" s="3">
        <v>8095.9</v>
      </c>
      <c r="K115" t="s">
        <v>119</v>
      </c>
      <c r="L115" t="s">
        <v>79</v>
      </c>
      <c r="M115" t="s">
        <v>62</v>
      </c>
      <c r="N115" t="str">
        <f t="shared" si="3"/>
        <v>Aug</v>
      </c>
    </row>
    <row r="116" spans="1:14" x14ac:dyDescent="0.3">
      <c r="A116" t="s">
        <v>353</v>
      </c>
      <c r="B116" t="s">
        <v>354</v>
      </c>
      <c r="C116" t="s">
        <v>355</v>
      </c>
      <c r="D116" t="s">
        <v>82</v>
      </c>
      <c r="E116" t="s">
        <v>36</v>
      </c>
      <c r="F116" s="3">
        <v>6.65</v>
      </c>
      <c r="G116">
        <v>755</v>
      </c>
      <c r="H116" s="3">
        <f t="shared" si="2"/>
        <v>5020.75</v>
      </c>
      <c r="I116" s="3">
        <v>502.08</v>
      </c>
      <c r="J116" s="3">
        <v>4518.67</v>
      </c>
      <c r="K116" t="s">
        <v>61</v>
      </c>
      <c r="L116" t="s">
        <v>19</v>
      </c>
      <c r="M116" t="s">
        <v>27</v>
      </c>
      <c r="N116" t="str">
        <f t="shared" si="3"/>
        <v>Jul</v>
      </c>
    </row>
    <row r="117" spans="1:14" x14ac:dyDescent="0.3">
      <c r="A117" t="s">
        <v>356</v>
      </c>
      <c r="B117" t="s">
        <v>357</v>
      </c>
      <c r="C117" t="s">
        <v>209</v>
      </c>
      <c r="D117" t="s">
        <v>16</v>
      </c>
      <c r="E117" t="s">
        <v>42</v>
      </c>
      <c r="F117" s="3">
        <v>13.18</v>
      </c>
      <c r="G117">
        <v>1613</v>
      </c>
      <c r="H117" s="3">
        <f t="shared" si="2"/>
        <v>21259.34</v>
      </c>
      <c r="I117" s="3">
        <v>0</v>
      </c>
      <c r="J117" s="3">
        <v>21259.34</v>
      </c>
      <c r="K117" t="s">
        <v>25</v>
      </c>
      <c r="L117" t="s">
        <v>52</v>
      </c>
      <c r="M117" t="s">
        <v>53</v>
      </c>
      <c r="N117" t="str">
        <f t="shared" si="3"/>
        <v>Jul</v>
      </c>
    </row>
    <row r="118" spans="1:14" x14ac:dyDescent="0.3">
      <c r="A118" t="s">
        <v>358</v>
      </c>
      <c r="B118" t="s">
        <v>359</v>
      </c>
      <c r="C118" t="s">
        <v>236</v>
      </c>
      <c r="D118" t="s">
        <v>41</v>
      </c>
      <c r="E118" t="s">
        <v>36</v>
      </c>
      <c r="F118" s="3">
        <v>10.09</v>
      </c>
      <c r="G118">
        <v>1291</v>
      </c>
      <c r="H118" s="3">
        <f t="shared" si="2"/>
        <v>13026.19</v>
      </c>
      <c r="I118" s="3">
        <v>1302.6199999999999</v>
      </c>
      <c r="J118" s="3">
        <v>11723.57</v>
      </c>
      <c r="K118" t="s">
        <v>67</v>
      </c>
      <c r="L118" t="s">
        <v>19</v>
      </c>
      <c r="M118" t="s">
        <v>27</v>
      </c>
      <c r="N118" t="str">
        <f t="shared" si="3"/>
        <v>Apr</v>
      </c>
    </row>
    <row r="119" spans="1:14" x14ac:dyDescent="0.3">
      <c r="A119" t="s">
        <v>360</v>
      </c>
      <c r="B119" t="s">
        <v>361</v>
      </c>
      <c r="C119" t="s">
        <v>362</v>
      </c>
      <c r="D119" t="s">
        <v>46</v>
      </c>
      <c r="E119" t="s">
        <v>32</v>
      </c>
      <c r="F119" s="3">
        <v>1.95</v>
      </c>
      <c r="G119">
        <v>767</v>
      </c>
      <c r="H119" s="3">
        <f t="shared" si="2"/>
        <v>1495.6499999999999</v>
      </c>
      <c r="I119" s="3">
        <v>74.78</v>
      </c>
      <c r="J119" s="3">
        <v>1420.87</v>
      </c>
      <c r="K119" t="s">
        <v>18</v>
      </c>
      <c r="L119" t="s">
        <v>79</v>
      </c>
      <c r="M119" t="s">
        <v>53</v>
      </c>
      <c r="N119" t="str">
        <f t="shared" si="3"/>
        <v>Nov</v>
      </c>
    </row>
    <row r="120" spans="1:14" x14ac:dyDescent="0.3">
      <c r="A120" t="s">
        <v>363</v>
      </c>
      <c r="B120" t="s">
        <v>198</v>
      </c>
      <c r="C120" t="s">
        <v>364</v>
      </c>
      <c r="D120" t="s">
        <v>155</v>
      </c>
      <c r="E120" t="s">
        <v>36</v>
      </c>
      <c r="F120" s="3">
        <v>12.12</v>
      </c>
      <c r="G120">
        <v>1814</v>
      </c>
      <c r="H120" s="3">
        <f t="shared" si="2"/>
        <v>21985.68</v>
      </c>
      <c r="I120" s="3">
        <v>2198.5700000000002</v>
      </c>
      <c r="J120" s="3">
        <v>19787.11</v>
      </c>
      <c r="K120" t="s">
        <v>25</v>
      </c>
      <c r="L120" t="s">
        <v>79</v>
      </c>
      <c r="M120" t="s">
        <v>62</v>
      </c>
      <c r="N120" t="str">
        <f t="shared" si="3"/>
        <v>Aug</v>
      </c>
    </row>
    <row r="121" spans="1:14" x14ac:dyDescent="0.3">
      <c r="A121" t="s">
        <v>365</v>
      </c>
      <c r="B121" t="s">
        <v>366</v>
      </c>
      <c r="C121" t="s">
        <v>355</v>
      </c>
      <c r="D121" t="s">
        <v>46</v>
      </c>
      <c r="E121" t="s">
        <v>17</v>
      </c>
      <c r="F121" s="3">
        <v>13.25</v>
      </c>
      <c r="G121">
        <v>1667</v>
      </c>
      <c r="H121" s="3">
        <f t="shared" si="2"/>
        <v>22087.75</v>
      </c>
      <c r="I121" s="3">
        <v>0</v>
      </c>
      <c r="J121" s="3">
        <v>22087.75</v>
      </c>
      <c r="K121" t="s">
        <v>119</v>
      </c>
      <c r="L121" t="s">
        <v>19</v>
      </c>
      <c r="M121" t="s">
        <v>62</v>
      </c>
      <c r="N121" t="str">
        <f t="shared" si="3"/>
        <v>May</v>
      </c>
    </row>
    <row r="122" spans="1:14" x14ac:dyDescent="0.3">
      <c r="A122" t="s">
        <v>367</v>
      </c>
      <c r="B122" t="s">
        <v>368</v>
      </c>
      <c r="C122" t="s">
        <v>369</v>
      </c>
      <c r="D122" t="s">
        <v>66</v>
      </c>
      <c r="E122" t="s">
        <v>42</v>
      </c>
      <c r="F122" s="3">
        <v>6.44</v>
      </c>
      <c r="G122">
        <v>1639</v>
      </c>
      <c r="H122" s="3">
        <f t="shared" si="2"/>
        <v>10555.16</v>
      </c>
      <c r="I122" s="3">
        <v>1583.27</v>
      </c>
      <c r="J122" s="3">
        <v>8971.89</v>
      </c>
      <c r="K122" t="s">
        <v>18</v>
      </c>
      <c r="L122" t="s">
        <v>79</v>
      </c>
      <c r="M122" t="s">
        <v>20</v>
      </c>
      <c r="N122" t="str">
        <f t="shared" si="3"/>
        <v>Apr</v>
      </c>
    </row>
    <row r="123" spans="1:14" x14ac:dyDescent="0.3">
      <c r="A123" t="s">
        <v>370</v>
      </c>
      <c r="B123" t="s">
        <v>371</v>
      </c>
      <c r="C123" t="s">
        <v>338</v>
      </c>
      <c r="D123" t="s">
        <v>41</v>
      </c>
      <c r="E123" t="s">
        <v>17</v>
      </c>
      <c r="F123" s="3">
        <v>11.61</v>
      </c>
      <c r="G123">
        <v>556</v>
      </c>
      <c r="H123" s="3">
        <f t="shared" si="2"/>
        <v>6455.16</v>
      </c>
      <c r="I123" s="3">
        <v>968.27</v>
      </c>
      <c r="J123" s="3">
        <v>5486.89</v>
      </c>
      <c r="K123" t="s">
        <v>61</v>
      </c>
      <c r="L123" t="s">
        <v>19</v>
      </c>
      <c r="M123" t="s">
        <v>27</v>
      </c>
      <c r="N123" t="str">
        <f t="shared" si="3"/>
        <v>Mar</v>
      </c>
    </row>
    <row r="124" spans="1:14" x14ac:dyDescent="0.3">
      <c r="A124" t="s">
        <v>372</v>
      </c>
      <c r="B124" t="s">
        <v>373</v>
      </c>
      <c r="C124" t="s">
        <v>374</v>
      </c>
      <c r="D124" t="s">
        <v>16</v>
      </c>
      <c r="E124" t="s">
        <v>42</v>
      </c>
      <c r="F124" s="3">
        <v>13.44</v>
      </c>
      <c r="G124">
        <v>1169</v>
      </c>
      <c r="H124" s="3">
        <f t="shared" si="2"/>
        <v>15711.359999999999</v>
      </c>
      <c r="I124" s="3">
        <v>1571.14</v>
      </c>
      <c r="J124" s="3">
        <v>14140.22</v>
      </c>
      <c r="K124" t="s">
        <v>25</v>
      </c>
      <c r="L124" t="s">
        <v>26</v>
      </c>
      <c r="M124" t="s">
        <v>27</v>
      </c>
      <c r="N124" t="str">
        <f t="shared" si="3"/>
        <v>Apr</v>
      </c>
    </row>
    <row r="125" spans="1:14" x14ac:dyDescent="0.3">
      <c r="A125" t="s">
        <v>375</v>
      </c>
      <c r="B125" t="s">
        <v>376</v>
      </c>
      <c r="C125" t="s">
        <v>56</v>
      </c>
      <c r="D125" t="s">
        <v>60</v>
      </c>
      <c r="E125" t="s">
        <v>17</v>
      </c>
      <c r="F125" s="3">
        <v>5.58</v>
      </c>
      <c r="G125">
        <v>856</v>
      </c>
      <c r="H125" s="3">
        <f t="shared" si="2"/>
        <v>4776.4800000000005</v>
      </c>
      <c r="I125" s="3">
        <v>0</v>
      </c>
      <c r="J125" s="3">
        <v>4776.4799999999996</v>
      </c>
      <c r="K125" t="s">
        <v>67</v>
      </c>
      <c r="L125" t="s">
        <v>19</v>
      </c>
      <c r="M125" t="s">
        <v>93</v>
      </c>
      <c r="N125" t="str">
        <f t="shared" si="3"/>
        <v>Feb</v>
      </c>
    </row>
    <row r="126" spans="1:14" x14ac:dyDescent="0.3">
      <c r="A126" t="s">
        <v>377</v>
      </c>
      <c r="B126" t="s">
        <v>378</v>
      </c>
      <c r="C126" t="s">
        <v>297</v>
      </c>
      <c r="D126" t="s">
        <v>82</v>
      </c>
      <c r="E126" t="s">
        <v>24</v>
      </c>
      <c r="F126" s="3">
        <v>4.67</v>
      </c>
      <c r="G126">
        <v>1120</v>
      </c>
      <c r="H126" s="3">
        <f t="shared" si="2"/>
        <v>5230.3999999999996</v>
      </c>
      <c r="I126" s="3">
        <v>261.52</v>
      </c>
      <c r="J126" s="3">
        <v>4968.88</v>
      </c>
      <c r="K126" t="s">
        <v>119</v>
      </c>
      <c r="L126" t="s">
        <v>52</v>
      </c>
      <c r="M126" t="s">
        <v>53</v>
      </c>
      <c r="N126" t="str">
        <f t="shared" si="3"/>
        <v>Jun</v>
      </c>
    </row>
    <row r="127" spans="1:14" x14ac:dyDescent="0.3">
      <c r="A127" t="s">
        <v>379</v>
      </c>
      <c r="B127" t="s">
        <v>380</v>
      </c>
      <c r="C127" t="s">
        <v>381</v>
      </c>
      <c r="D127" t="s">
        <v>31</v>
      </c>
      <c r="E127" t="s">
        <v>32</v>
      </c>
      <c r="F127" s="3">
        <v>9.43</v>
      </c>
      <c r="G127">
        <v>1508</v>
      </c>
      <c r="H127" s="3">
        <f t="shared" si="2"/>
        <v>14220.439999999999</v>
      </c>
      <c r="I127" s="3">
        <v>711.02</v>
      </c>
      <c r="J127" s="3">
        <v>13509.42</v>
      </c>
      <c r="K127" t="s">
        <v>119</v>
      </c>
      <c r="L127" t="s">
        <v>19</v>
      </c>
      <c r="M127" t="s">
        <v>37</v>
      </c>
      <c r="N127" t="str">
        <f t="shared" si="3"/>
        <v>Dec</v>
      </c>
    </row>
    <row r="128" spans="1:14" x14ac:dyDescent="0.3">
      <c r="A128" t="s">
        <v>382</v>
      </c>
      <c r="B128" t="s">
        <v>383</v>
      </c>
      <c r="C128" t="s">
        <v>287</v>
      </c>
      <c r="D128" t="s">
        <v>35</v>
      </c>
      <c r="E128" t="s">
        <v>24</v>
      </c>
      <c r="F128" s="3">
        <v>10.82</v>
      </c>
      <c r="G128">
        <v>464</v>
      </c>
      <c r="H128" s="3">
        <f t="shared" si="2"/>
        <v>5020.4800000000005</v>
      </c>
      <c r="I128" s="3">
        <v>753.07</v>
      </c>
      <c r="J128" s="3">
        <v>4267.41</v>
      </c>
      <c r="K128" t="s">
        <v>119</v>
      </c>
      <c r="L128" t="s">
        <v>26</v>
      </c>
      <c r="M128" t="s">
        <v>53</v>
      </c>
      <c r="N128" t="str">
        <f t="shared" si="3"/>
        <v>Nov</v>
      </c>
    </row>
    <row r="129" spans="1:14" x14ac:dyDescent="0.3">
      <c r="A129" t="s">
        <v>384</v>
      </c>
      <c r="B129" t="s">
        <v>344</v>
      </c>
      <c r="C129" t="s">
        <v>385</v>
      </c>
      <c r="D129" t="s">
        <v>41</v>
      </c>
      <c r="E129" t="s">
        <v>42</v>
      </c>
      <c r="F129" s="3">
        <v>13.67</v>
      </c>
      <c r="G129">
        <v>1340</v>
      </c>
      <c r="H129" s="3">
        <f t="shared" si="2"/>
        <v>18317.8</v>
      </c>
      <c r="I129" s="3">
        <v>1831.78</v>
      </c>
      <c r="J129" s="3">
        <v>16486.02</v>
      </c>
      <c r="K129" t="s">
        <v>18</v>
      </c>
      <c r="L129" t="s">
        <v>52</v>
      </c>
      <c r="M129" t="s">
        <v>53</v>
      </c>
      <c r="N129" t="str">
        <f t="shared" si="3"/>
        <v>Feb</v>
      </c>
    </row>
    <row r="130" spans="1:14" x14ac:dyDescent="0.3">
      <c r="A130" t="s">
        <v>386</v>
      </c>
      <c r="B130" t="s">
        <v>256</v>
      </c>
      <c r="C130" t="s">
        <v>387</v>
      </c>
      <c r="D130" t="s">
        <v>60</v>
      </c>
      <c r="E130" t="s">
        <v>24</v>
      </c>
      <c r="F130" s="3">
        <v>10.45</v>
      </c>
      <c r="G130">
        <v>1334</v>
      </c>
      <c r="H130" s="3">
        <f t="shared" si="2"/>
        <v>13940.3</v>
      </c>
      <c r="I130" s="3">
        <v>0</v>
      </c>
      <c r="J130" s="3">
        <v>13940.3</v>
      </c>
      <c r="K130" t="s">
        <v>18</v>
      </c>
      <c r="L130" t="s">
        <v>79</v>
      </c>
      <c r="M130" t="s">
        <v>62</v>
      </c>
      <c r="N130" t="str">
        <f t="shared" si="3"/>
        <v>Apr</v>
      </c>
    </row>
    <row r="131" spans="1:14" x14ac:dyDescent="0.3">
      <c r="A131" t="s">
        <v>388</v>
      </c>
      <c r="B131" t="s">
        <v>389</v>
      </c>
      <c r="C131" t="s">
        <v>146</v>
      </c>
      <c r="D131" t="s">
        <v>155</v>
      </c>
      <c r="E131" t="s">
        <v>24</v>
      </c>
      <c r="F131" s="3">
        <v>12.7</v>
      </c>
      <c r="G131">
        <v>1155</v>
      </c>
      <c r="H131" s="3">
        <f t="shared" ref="H131:H194" si="4">F131*G131</f>
        <v>14668.5</v>
      </c>
      <c r="I131" s="3">
        <v>733.43</v>
      </c>
      <c r="J131" s="3">
        <v>13935.07</v>
      </c>
      <c r="K131" t="s">
        <v>25</v>
      </c>
      <c r="L131" t="s">
        <v>26</v>
      </c>
      <c r="M131" t="s">
        <v>62</v>
      </c>
      <c r="N131" t="str">
        <f t="shared" ref="N131:N194" si="5">TEXT(B131,"mmm")</f>
        <v>Mar</v>
      </c>
    </row>
    <row r="132" spans="1:14" x14ac:dyDescent="0.3">
      <c r="A132" t="s">
        <v>390</v>
      </c>
      <c r="B132" t="s">
        <v>391</v>
      </c>
      <c r="C132" t="s">
        <v>392</v>
      </c>
      <c r="D132" t="s">
        <v>71</v>
      </c>
      <c r="E132" t="s">
        <v>42</v>
      </c>
      <c r="F132" s="3">
        <v>1.54</v>
      </c>
      <c r="G132">
        <v>1778</v>
      </c>
      <c r="H132" s="3">
        <f t="shared" si="4"/>
        <v>2738.12</v>
      </c>
      <c r="I132" s="3">
        <v>136.91</v>
      </c>
      <c r="J132" s="3">
        <v>2601.21</v>
      </c>
      <c r="K132" t="s">
        <v>67</v>
      </c>
      <c r="L132" t="s">
        <v>79</v>
      </c>
      <c r="M132" t="s">
        <v>62</v>
      </c>
      <c r="N132" t="str">
        <f t="shared" si="5"/>
        <v>Jun</v>
      </c>
    </row>
    <row r="133" spans="1:14" x14ac:dyDescent="0.3">
      <c r="A133" t="s">
        <v>393</v>
      </c>
      <c r="B133" t="s">
        <v>394</v>
      </c>
      <c r="C133" t="s">
        <v>395</v>
      </c>
      <c r="D133" t="s">
        <v>16</v>
      </c>
      <c r="E133" t="s">
        <v>36</v>
      </c>
      <c r="F133" s="3">
        <v>1.7</v>
      </c>
      <c r="G133">
        <v>1637</v>
      </c>
      <c r="H133" s="3">
        <f t="shared" si="4"/>
        <v>2782.9</v>
      </c>
      <c r="I133" s="3">
        <v>139.15</v>
      </c>
      <c r="J133" s="3">
        <v>2643.75</v>
      </c>
      <c r="K133" t="s">
        <v>25</v>
      </c>
      <c r="L133" t="s">
        <v>79</v>
      </c>
      <c r="M133" t="s">
        <v>93</v>
      </c>
      <c r="N133" t="str">
        <f t="shared" si="5"/>
        <v>Feb</v>
      </c>
    </row>
    <row r="134" spans="1:14" x14ac:dyDescent="0.3">
      <c r="A134" t="s">
        <v>396</v>
      </c>
      <c r="B134" t="s">
        <v>188</v>
      </c>
      <c r="C134" t="s">
        <v>397</v>
      </c>
      <c r="D134" t="s">
        <v>225</v>
      </c>
      <c r="E134" t="s">
        <v>36</v>
      </c>
      <c r="F134" s="3">
        <v>11.51</v>
      </c>
      <c r="G134">
        <v>1097</v>
      </c>
      <c r="H134" s="3">
        <f t="shared" si="4"/>
        <v>12626.47</v>
      </c>
      <c r="I134" s="3">
        <v>0</v>
      </c>
      <c r="J134" s="3">
        <v>12626.47</v>
      </c>
      <c r="K134" t="s">
        <v>18</v>
      </c>
      <c r="L134" t="s">
        <v>52</v>
      </c>
      <c r="M134" t="s">
        <v>37</v>
      </c>
      <c r="N134" t="str">
        <f t="shared" si="5"/>
        <v>Mar</v>
      </c>
    </row>
    <row r="135" spans="1:14" x14ac:dyDescent="0.3">
      <c r="A135" t="s">
        <v>398</v>
      </c>
      <c r="B135" t="s">
        <v>313</v>
      </c>
      <c r="C135" t="s">
        <v>311</v>
      </c>
      <c r="D135" t="s">
        <v>107</v>
      </c>
      <c r="E135" t="s">
        <v>24</v>
      </c>
      <c r="F135" s="3">
        <v>7.6</v>
      </c>
      <c r="G135">
        <v>473</v>
      </c>
      <c r="H135" s="3">
        <f t="shared" si="4"/>
        <v>3594.7999999999997</v>
      </c>
      <c r="I135" s="3">
        <v>0</v>
      </c>
      <c r="J135" s="3">
        <v>3594.8</v>
      </c>
      <c r="K135" t="s">
        <v>25</v>
      </c>
      <c r="L135" t="s">
        <v>79</v>
      </c>
      <c r="M135" t="s">
        <v>37</v>
      </c>
      <c r="N135" t="str">
        <f t="shared" si="5"/>
        <v>Jul</v>
      </c>
    </row>
    <row r="136" spans="1:14" x14ac:dyDescent="0.3">
      <c r="A136" t="s">
        <v>399</v>
      </c>
      <c r="B136" t="s">
        <v>69</v>
      </c>
      <c r="C136" t="s">
        <v>400</v>
      </c>
      <c r="D136" t="s">
        <v>225</v>
      </c>
      <c r="E136" t="s">
        <v>32</v>
      </c>
      <c r="F136" s="3">
        <v>12.94</v>
      </c>
      <c r="G136">
        <v>893</v>
      </c>
      <c r="H136" s="3">
        <f t="shared" si="4"/>
        <v>11555.42</v>
      </c>
      <c r="I136" s="3">
        <v>0</v>
      </c>
      <c r="J136" s="3">
        <v>11555.42</v>
      </c>
      <c r="K136" t="s">
        <v>119</v>
      </c>
      <c r="L136" t="s">
        <v>52</v>
      </c>
      <c r="M136" t="s">
        <v>93</v>
      </c>
      <c r="N136" t="str">
        <f t="shared" si="5"/>
        <v>Nov</v>
      </c>
    </row>
    <row r="137" spans="1:14" x14ac:dyDescent="0.3">
      <c r="A137" t="s">
        <v>401</v>
      </c>
      <c r="B137" t="s">
        <v>139</v>
      </c>
      <c r="C137" t="s">
        <v>402</v>
      </c>
      <c r="D137" t="s">
        <v>92</v>
      </c>
      <c r="E137" t="s">
        <v>36</v>
      </c>
      <c r="F137" s="3">
        <v>2.39</v>
      </c>
      <c r="G137">
        <v>583</v>
      </c>
      <c r="H137" s="3">
        <f t="shared" si="4"/>
        <v>1393.3700000000001</v>
      </c>
      <c r="I137" s="3">
        <v>139.34</v>
      </c>
      <c r="J137" s="3">
        <v>1254.03</v>
      </c>
      <c r="K137" t="s">
        <v>119</v>
      </c>
      <c r="L137" t="s">
        <v>79</v>
      </c>
      <c r="M137" t="s">
        <v>37</v>
      </c>
      <c r="N137" t="str">
        <f t="shared" si="5"/>
        <v>Feb</v>
      </c>
    </row>
    <row r="138" spans="1:14" x14ac:dyDescent="0.3">
      <c r="A138" t="s">
        <v>403</v>
      </c>
      <c r="B138" t="s">
        <v>404</v>
      </c>
      <c r="C138" t="s">
        <v>154</v>
      </c>
      <c r="D138" t="s">
        <v>78</v>
      </c>
      <c r="E138" t="s">
        <v>24</v>
      </c>
      <c r="F138" s="3">
        <v>12.21</v>
      </c>
      <c r="G138">
        <v>254</v>
      </c>
      <c r="H138" s="3">
        <f t="shared" si="4"/>
        <v>3101.34</v>
      </c>
      <c r="I138" s="3">
        <v>155.07</v>
      </c>
      <c r="J138" s="3">
        <v>2946.27</v>
      </c>
      <c r="K138" t="s">
        <v>119</v>
      </c>
      <c r="L138" t="s">
        <v>52</v>
      </c>
      <c r="M138" t="s">
        <v>62</v>
      </c>
      <c r="N138" t="str">
        <f t="shared" si="5"/>
        <v>Sep</v>
      </c>
    </row>
    <row r="139" spans="1:14" x14ac:dyDescent="0.3">
      <c r="A139" t="s">
        <v>405</v>
      </c>
      <c r="B139" t="s">
        <v>406</v>
      </c>
      <c r="C139" t="s">
        <v>407</v>
      </c>
      <c r="D139" t="s">
        <v>60</v>
      </c>
      <c r="E139" t="s">
        <v>32</v>
      </c>
      <c r="F139" s="3">
        <v>7.12</v>
      </c>
      <c r="G139">
        <v>214</v>
      </c>
      <c r="H139" s="3">
        <f t="shared" si="4"/>
        <v>1523.68</v>
      </c>
      <c r="I139" s="3">
        <v>152.37</v>
      </c>
      <c r="J139" s="3">
        <v>1371.31</v>
      </c>
      <c r="K139" t="s">
        <v>119</v>
      </c>
      <c r="L139" t="s">
        <v>79</v>
      </c>
      <c r="M139" t="s">
        <v>27</v>
      </c>
      <c r="N139" t="str">
        <f t="shared" si="5"/>
        <v>Jul</v>
      </c>
    </row>
    <row r="140" spans="1:14" x14ac:dyDescent="0.3">
      <c r="A140" t="s">
        <v>408</v>
      </c>
      <c r="B140" t="s">
        <v>409</v>
      </c>
      <c r="C140" t="s">
        <v>410</v>
      </c>
      <c r="D140" t="s">
        <v>71</v>
      </c>
      <c r="E140" t="s">
        <v>17</v>
      </c>
      <c r="F140" s="3">
        <v>13.96</v>
      </c>
      <c r="G140">
        <v>157</v>
      </c>
      <c r="H140" s="3">
        <f t="shared" si="4"/>
        <v>2191.7200000000003</v>
      </c>
      <c r="I140" s="3">
        <v>0</v>
      </c>
      <c r="J140" s="3">
        <v>2191.7199999999998</v>
      </c>
      <c r="K140" t="s">
        <v>18</v>
      </c>
      <c r="L140" t="s">
        <v>19</v>
      </c>
      <c r="M140" t="s">
        <v>37</v>
      </c>
      <c r="N140" t="str">
        <f t="shared" si="5"/>
        <v>May</v>
      </c>
    </row>
    <row r="141" spans="1:14" x14ac:dyDescent="0.3">
      <c r="A141" t="s">
        <v>411</v>
      </c>
      <c r="B141" t="s">
        <v>39</v>
      </c>
      <c r="C141" t="s">
        <v>381</v>
      </c>
      <c r="D141" t="s">
        <v>41</v>
      </c>
      <c r="E141" t="s">
        <v>36</v>
      </c>
      <c r="F141" s="3">
        <v>9.01</v>
      </c>
      <c r="G141">
        <v>1221</v>
      </c>
      <c r="H141" s="3">
        <f t="shared" si="4"/>
        <v>11001.21</v>
      </c>
      <c r="I141" s="3">
        <v>1100.1199999999999</v>
      </c>
      <c r="J141" s="3">
        <v>9901.09</v>
      </c>
      <c r="K141" t="s">
        <v>18</v>
      </c>
      <c r="L141" t="s">
        <v>52</v>
      </c>
      <c r="M141" t="s">
        <v>53</v>
      </c>
      <c r="N141" t="str">
        <f t="shared" si="5"/>
        <v>Feb</v>
      </c>
    </row>
    <row r="142" spans="1:14" x14ac:dyDescent="0.3">
      <c r="A142" t="s">
        <v>412</v>
      </c>
      <c r="B142" t="s">
        <v>413</v>
      </c>
      <c r="C142" t="s">
        <v>227</v>
      </c>
      <c r="D142" t="s">
        <v>78</v>
      </c>
      <c r="E142" t="s">
        <v>17</v>
      </c>
      <c r="F142" s="3">
        <v>2.19</v>
      </c>
      <c r="G142">
        <v>609</v>
      </c>
      <c r="H142" s="3">
        <f t="shared" si="4"/>
        <v>1333.71</v>
      </c>
      <c r="I142" s="3">
        <v>133.37</v>
      </c>
      <c r="J142" s="3">
        <v>1200.3399999999999</v>
      </c>
      <c r="K142" t="s">
        <v>61</v>
      </c>
      <c r="L142" t="s">
        <v>19</v>
      </c>
      <c r="M142" t="s">
        <v>20</v>
      </c>
      <c r="N142" t="str">
        <f t="shared" si="5"/>
        <v>Dec</v>
      </c>
    </row>
    <row r="143" spans="1:14" x14ac:dyDescent="0.3">
      <c r="A143" t="s">
        <v>414</v>
      </c>
      <c r="B143" t="s">
        <v>415</v>
      </c>
      <c r="C143" t="s">
        <v>285</v>
      </c>
      <c r="D143" t="s">
        <v>71</v>
      </c>
      <c r="E143" t="s">
        <v>17</v>
      </c>
      <c r="F143" s="3">
        <v>8.01</v>
      </c>
      <c r="G143">
        <v>1755</v>
      </c>
      <c r="H143" s="3">
        <f t="shared" si="4"/>
        <v>14057.55</v>
      </c>
      <c r="I143" s="3">
        <v>0</v>
      </c>
      <c r="J143" s="3">
        <v>14057.55</v>
      </c>
      <c r="K143" t="s">
        <v>61</v>
      </c>
      <c r="L143" t="s">
        <v>79</v>
      </c>
      <c r="M143" t="s">
        <v>93</v>
      </c>
      <c r="N143" t="str">
        <f t="shared" si="5"/>
        <v>Sep</v>
      </c>
    </row>
    <row r="144" spans="1:14" x14ac:dyDescent="0.3">
      <c r="A144" t="s">
        <v>416</v>
      </c>
      <c r="B144" t="s">
        <v>173</v>
      </c>
      <c r="C144" t="s">
        <v>332</v>
      </c>
      <c r="D144" t="s">
        <v>50</v>
      </c>
      <c r="E144" t="s">
        <v>32</v>
      </c>
      <c r="F144" s="3">
        <v>12.91</v>
      </c>
      <c r="G144">
        <v>1591</v>
      </c>
      <c r="H144" s="3">
        <f t="shared" si="4"/>
        <v>20539.810000000001</v>
      </c>
      <c r="I144" s="3">
        <v>0</v>
      </c>
      <c r="J144" s="3">
        <v>20539.810000000001</v>
      </c>
      <c r="K144" t="s">
        <v>25</v>
      </c>
      <c r="L144" t="s">
        <v>79</v>
      </c>
      <c r="M144" t="s">
        <v>93</v>
      </c>
      <c r="N144" t="str">
        <f t="shared" si="5"/>
        <v>May</v>
      </c>
    </row>
    <row r="145" spans="1:14" x14ac:dyDescent="0.3">
      <c r="A145" t="s">
        <v>417</v>
      </c>
      <c r="B145" t="s">
        <v>418</v>
      </c>
      <c r="C145" t="s">
        <v>220</v>
      </c>
      <c r="D145" t="s">
        <v>46</v>
      </c>
      <c r="E145" t="s">
        <v>51</v>
      </c>
      <c r="F145" s="3">
        <v>6.24</v>
      </c>
      <c r="G145">
        <v>391</v>
      </c>
      <c r="H145" s="3">
        <f t="shared" si="4"/>
        <v>2439.84</v>
      </c>
      <c r="I145" s="3">
        <v>121.99</v>
      </c>
      <c r="J145" s="3">
        <v>2317.85</v>
      </c>
      <c r="K145" t="s">
        <v>25</v>
      </c>
      <c r="L145" t="s">
        <v>52</v>
      </c>
      <c r="M145" t="s">
        <v>93</v>
      </c>
      <c r="N145" t="str">
        <f t="shared" si="5"/>
        <v>Apr</v>
      </c>
    </row>
    <row r="146" spans="1:14" x14ac:dyDescent="0.3">
      <c r="A146" t="s">
        <v>419</v>
      </c>
      <c r="B146" t="s">
        <v>420</v>
      </c>
      <c r="C146" t="s">
        <v>267</v>
      </c>
      <c r="D146" t="s">
        <v>16</v>
      </c>
      <c r="E146" t="s">
        <v>24</v>
      </c>
      <c r="F146" s="3">
        <v>11.57</v>
      </c>
      <c r="G146">
        <v>460</v>
      </c>
      <c r="H146" s="3">
        <f t="shared" si="4"/>
        <v>5322.2</v>
      </c>
      <c r="I146" s="3">
        <v>798.33</v>
      </c>
      <c r="J146" s="3">
        <v>4523.87</v>
      </c>
      <c r="K146" t="s">
        <v>119</v>
      </c>
      <c r="L146" t="s">
        <v>52</v>
      </c>
      <c r="M146" t="s">
        <v>53</v>
      </c>
      <c r="N146" t="str">
        <f t="shared" si="5"/>
        <v>Mar</v>
      </c>
    </row>
    <row r="147" spans="1:14" x14ac:dyDescent="0.3">
      <c r="A147" t="s">
        <v>421</v>
      </c>
      <c r="B147" t="s">
        <v>422</v>
      </c>
      <c r="C147" t="s">
        <v>148</v>
      </c>
      <c r="D147" t="s">
        <v>46</v>
      </c>
      <c r="E147" t="s">
        <v>17</v>
      </c>
      <c r="F147" s="3">
        <v>5.88</v>
      </c>
      <c r="G147">
        <v>1948</v>
      </c>
      <c r="H147" s="3">
        <f t="shared" si="4"/>
        <v>11454.24</v>
      </c>
      <c r="I147" s="3">
        <v>0</v>
      </c>
      <c r="J147" s="3">
        <v>11454.24</v>
      </c>
      <c r="K147" t="s">
        <v>18</v>
      </c>
      <c r="L147" t="s">
        <v>26</v>
      </c>
      <c r="M147" t="s">
        <v>62</v>
      </c>
      <c r="N147" t="str">
        <f t="shared" si="5"/>
        <v>Mar</v>
      </c>
    </row>
    <row r="148" spans="1:14" x14ac:dyDescent="0.3">
      <c r="A148" t="s">
        <v>423</v>
      </c>
      <c r="B148" t="s">
        <v>424</v>
      </c>
      <c r="C148" t="s">
        <v>425</v>
      </c>
      <c r="D148" t="s">
        <v>97</v>
      </c>
      <c r="E148" t="s">
        <v>51</v>
      </c>
      <c r="F148" s="3">
        <v>7.48</v>
      </c>
      <c r="G148">
        <v>888</v>
      </c>
      <c r="H148" s="3">
        <f t="shared" si="4"/>
        <v>6642.2400000000007</v>
      </c>
      <c r="I148" s="3">
        <v>996.34</v>
      </c>
      <c r="J148" s="3">
        <v>5645.9</v>
      </c>
      <c r="K148" t="s">
        <v>25</v>
      </c>
      <c r="L148" t="s">
        <v>52</v>
      </c>
      <c r="M148" t="s">
        <v>37</v>
      </c>
      <c r="N148" t="str">
        <f t="shared" si="5"/>
        <v>Nov</v>
      </c>
    </row>
    <row r="149" spans="1:14" x14ac:dyDescent="0.3">
      <c r="A149" t="s">
        <v>426</v>
      </c>
      <c r="B149" t="s">
        <v>427</v>
      </c>
      <c r="C149" t="s">
        <v>428</v>
      </c>
      <c r="D149" t="s">
        <v>135</v>
      </c>
      <c r="E149" t="s">
        <v>24</v>
      </c>
      <c r="F149" s="3">
        <v>6.16</v>
      </c>
      <c r="G149">
        <v>247</v>
      </c>
      <c r="H149" s="3">
        <f t="shared" si="4"/>
        <v>1521.52</v>
      </c>
      <c r="I149" s="3">
        <v>152.15</v>
      </c>
      <c r="J149" s="3">
        <v>1369.37</v>
      </c>
      <c r="K149" t="s">
        <v>25</v>
      </c>
      <c r="L149" t="s">
        <v>52</v>
      </c>
      <c r="M149" t="s">
        <v>20</v>
      </c>
      <c r="N149" t="str">
        <f t="shared" si="5"/>
        <v>May</v>
      </c>
    </row>
    <row r="150" spans="1:14" x14ac:dyDescent="0.3">
      <c r="A150" t="s">
        <v>429</v>
      </c>
      <c r="B150" t="s">
        <v>430</v>
      </c>
      <c r="C150" t="s">
        <v>171</v>
      </c>
      <c r="D150" t="s">
        <v>225</v>
      </c>
      <c r="E150" t="s">
        <v>36</v>
      </c>
      <c r="F150" s="3">
        <v>6.84</v>
      </c>
      <c r="G150">
        <v>1247</v>
      </c>
      <c r="H150" s="3">
        <f t="shared" si="4"/>
        <v>8529.48</v>
      </c>
      <c r="I150" s="3">
        <v>0</v>
      </c>
      <c r="J150" s="3">
        <v>8529.48</v>
      </c>
      <c r="K150" t="s">
        <v>18</v>
      </c>
      <c r="L150" t="s">
        <v>26</v>
      </c>
      <c r="M150" t="s">
        <v>53</v>
      </c>
      <c r="N150" t="str">
        <f t="shared" si="5"/>
        <v>Dec</v>
      </c>
    </row>
    <row r="151" spans="1:14" x14ac:dyDescent="0.3">
      <c r="A151" t="s">
        <v>431</v>
      </c>
      <c r="B151" t="s">
        <v>253</v>
      </c>
      <c r="C151" t="s">
        <v>432</v>
      </c>
      <c r="D151" t="s">
        <v>71</v>
      </c>
      <c r="E151" t="s">
        <v>51</v>
      </c>
      <c r="F151" s="3">
        <v>5.41</v>
      </c>
      <c r="G151">
        <v>265</v>
      </c>
      <c r="H151" s="3">
        <f t="shared" si="4"/>
        <v>1433.65</v>
      </c>
      <c r="I151" s="3">
        <v>0</v>
      </c>
      <c r="J151" s="3">
        <v>1433.65</v>
      </c>
      <c r="K151" t="s">
        <v>119</v>
      </c>
      <c r="L151" t="s">
        <v>52</v>
      </c>
      <c r="M151" t="s">
        <v>62</v>
      </c>
      <c r="N151" t="str">
        <f t="shared" si="5"/>
        <v>Apr</v>
      </c>
    </row>
    <row r="152" spans="1:14" x14ac:dyDescent="0.3">
      <c r="A152" t="s">
        <v>433</v>
      </c>
      <c r="B152" t="s">
        <v>434</v>
      </c>
      <c r="C152" t="s">
        <v>435</v>
      </c>
      <c r="D152" t="s">
        <v>31</v>
      </c>
      <c r="E152" t="s">
        <v>17</v>
      </c>
      <c r="F152" s="3">
        <v>4.6100000000000003</v>
      </c>
      <c r="G152">
        <v>1164</v>
      </c>
      <c r="H152" s="3">
        <f t="shared" si="4"/>
        <v>5366.04</v>
      </c>
      <c r="I152" s="3">
        <v>536.6</v>
      </c>
      <c r="J152" s="3">
        <v>4829.4399999999996</v>
      </c>
      <c r="K152" t="s">
        <v>18</v>
      </c>
      <c r="L152" t="s">
        <v>52</v>
      </c>
      <c r="M152" t="s">
        <v>27</v>
      </c>
      <c r="N152" t="str">
        <f t="shared" si="5"/>
        <v>Mar</v>
      </c>
    </row>
    <row r="153" spans="1:14" x14ac:dyDescent="0.3">
      <c r="A153" t="s">
        <v>436</v>
      </c>
      <c r="B153" t="s">
        <v>437</v>
      </c>
      <c r="C153" t="s">
        <v>438</v>
      </c>
      <c r="D153" t="s">
        <v>16</v>
      </c>
      <c r="E153" t="s">
        <v>32</v>
      </c>
      <c r="F153" s="3">
        <v>13.94</v>
      </c>
      <c r="G153">
        <v>1785</v>
      </c>
      <c r="H153" s="3">
        <f t="shared" si="4"/>
        <v>24882.899999999998</v>
      </c>
      <c r="I153" s="3">
        <v>2488.29</v>
      </c>
      <c r="J153" s="3">
        <v>22394.61</v>
      </c>
      <c r="K153" t="s">
        <v>25</v>
      </c>
      <c r="L153" t="s">
        <v>52</v>
      </c>
      <c r="M153" t="s">
        <v>20</v>
      </c>
      <c r="N153" t="str">
        <f t="shared" si="5"/>
        <v>Jan</v>
      </c>
    </row>
    <row r="154" spans="1:14" x14ac:dyDescent="0.3">
      <c r="A154" t="s">
        <v>439</v>
      </c>
      <c r="B154" t="s">
        <v>440</v>
      </c>
      <c r="C154" t="s">
        <v>441</v>
      </c>
      <c r="D154" t="s">
        <v>78</v>
      </c>
      <c r="E154" t="s">
        <v>51</v>
      </c>
      <c r="F154" s="3">
        <v>3.05</v>
      </c>
      <c r="G154">
        <v>62</v>
      </c>
      <c r="H154" s="3">
        <f t="shared" si="4"/>
        <v>189.1</v>
      </c>
      <c r="I154" s="3">
        <v>18.91</v>
      </c>
      <c r="J154" s="3">
        <v>170.19</v>
      </c>
      <c r="K154" t="s">
        <v>67</v>
      </c>
      <c r="L154" t="s">
        <v>52</v>
      </c>
      <c r="M154" t="s">
        <v>27</v>
      </c>
      <c r="N154" t="str">
        <f t="shared" si="5"/>
        <v>Jul</v>
      </c>
    </row>
    <row r="155" spans="1:14" x14ac:dyDescent="0.3">
      <c r="A155" t="s">
        <v>442</v>
      </c>
      <c r="B155" t="s">
        <v>313</v>
      </c>
      <c r="C155" t="s">
        <v>443</v>
      </c>
      <c r="D155" t="s">
        <v>78</v>
      </c>
      <c r="E155" t="s">
        <v>24</v>
      </c>
      <c r="F155" s="3">
        <v>4.78</v>
      </c>
      <c r="G155">
        <v>1226</v>
      </c>
      <c r="H155" s="3">
        <f t="shared" si="4"/>
        <v>5860.2800000000007</v>
      </c>
      <c r="I155" s="3">
        <v>879.04</v>
      </c>
      <c r="J155" s="3">
        <v>4981.24</v>
      </c>
      <c r="K155" t="s">
        <v>25</v>
      </c>
      <c r="L155" t="s">
        <v>19</v>
      </c>
      <c r="M155" t="s">
        <v>37</v>
      </c>
      <c r="N155" t="str">
        <f t="shared" si="5"/>
        <v>Jul</v>
      </c>
    </row>
    <row r="156" spans="1:14" x14ac:dyDescent="0.3">
      <c r="A156" t="s">
        <v>444</v>
      </c>
      <c r="B156" t="s">
        <v>195</v>
      </c>
      <c r="C156" t="s">
        <v>381</v>
      </c>
      <c r="D156" t="s">
        <v>110</v>
      </c>
      <c r="E156" t="s">
        <v>36</v>
      </c>
      <c r="F156" s="3">
        <v>6</v>
      </c>
      <c r="G156">
        <v>364</v>
      </c>
      <c r="H156" s="3">
        <f t="shared" si="4"/>
        <v>2184</v>
      </c>
      <c r="I156" s="3">
        <v>0</v>
      </c>
      <c r="J156" s="3">
        <v>2184</v>
      </c>
      <c r="K156" t="s">
        <v>25</v>
      </c>
      <c r="L156" t="s">
        <v>19</v>
      </c>
      <c r="M156" t="s">
        <v>20</v>
      </c>
      <c r="N156" t="str">
        <f t="shared" si="5"/>
        <v>Jun</v>
      </c>
    </row>
    <row r="157" spans="1:14" x14ac:dyDescent="0.3">
      <c r="A157" t="s">
        <v>445</v>
      </c>
      <c r="B157" t="s">
        <v>179</v>
      </c>
      <c r="C157" t="s">
        <v>446</v>
      </c>
      <c r="D157" t="s">
        <v>41</v>
      </c>
      <c r="E157" t="s">
        <v>51</v>
      </c>
      <c r="F157" s="3">
        <v>11.32</v>
      </c>
      <c r="G157">
        <v>1697</v>
      </c>
      <c r="H157" s="3">
        <f t="shared" si="4"/>
        <v>19210.04</v>
      </c>
      <c r="I157" s="3">
        <v>960.5</v>
      </c>
      <c r="J157" s="3">
        <v>18249.54</v>
      </c>
      <c r="K157" t="s">
        <v>67</v>
      </c>
      <c r="L157" t="s">
        <v>19</v>
      </c>
      <c r="M157" t="s">
        <v>62</v>
      </c>
      <c r="N157" t="str">
        <f t="shared" si="5"/>
        <v>Sep</v>
      </c>
    </row>
    <row r="158" spans="1:14" x14ac:dyDescent="0.3">
      <c r="A158" t="s">
        <v>447</v>
      </c>
      <c r="B158" t="s">
        <v>366</v>
      </c>
      <c r="C158" t="s">
        <v>448</v>
      </c>
      <c r="D158" t="s">
        <v>270</v>
      </c>
      <c r="E158" t="s">
        <v>42</v>
      </c>
      <c r="F158" s="3">
        <v>3.56</v>
      </c>
      <c r="G158">
        <v>1574</v>
      </c>
      <c r="H158" s="3">
        <f t="shared" si="4"/>
        <v>5603.4400000000005</v>
      </c>
      <c r="I158" s="3">
        <v>0</v>
      </c>
      <c r="J158" s="3">
        <v>5603.44</v>
      </c>
      <c r="K158" t="s">
        <v>67</v>
      </c>
      <c r="L158" t="s">
        <v>52</v>
      </c>
      <c r="M158" t="s">
        <v>37</v>
      </c>
      <c r="N158" t="str">
        <f t="shared" si="5"/>
        <v>May</v>
      </c>
    </row>
    <row r="159" spans="1:14" x14ac:dyDescent="0.3">
      <c r="A159" t="s">
        <v>449</v>
      </c>
      <c r="B159" t="s">
        <v>450</v>
      </c>
      <c r="C159" t="s">
        <v>345</v>
      </c>
      <c r="D159" t="s">
        <v>107</v>
      </c>
      <c r="E159" t="s">
        <v>32</v>
      </c>
      <c r="F159" s="3">
        <v>10.7</v>
      </c>
      <c r="G159">
        <v>1826</v>
      </c>
      <c r="H159" s="3">
        <f t="shared" si="4"/>
        <v>19538.199999999997</v>
      </c>
      <c r="I159" s="3">
        <v>1953.82</v>
      </c>
      <c r="J159" s="3">
        <v>17584.38</v>
      </c>
      <c r="K159" t="s">
        <v>61</v>
      </c>
      <c r="L159" t="s">
        <v>26</v>
      </c>
      <c r="M159" t="s">
        <v>37</v>
      </c>
      <c r="N159" t="str">
        <f t="shared" si="5"/>
        <v>Oct</v>
      </c>
    </row>
    <row r="160" spans="1:14" x14ac:dyDescent="0.3">
      <c r="A160" t="s">
        <v>451</v>
      </c>
      <c r="B160" t="s">
        <v>109</v>
      </c>
      <c r="C160" t="s">
        <v>374</v>
      </c>
      <c r="D160" t="s">
        <v>60</v>
      </c>
      <c r="E160" t="s">
        <v>17</v>
      </c>
      <c r="F160" s="3">
        <v>5.59</v>
      </c>
      <c r="G160">
        <v>582</v>
      </c>
      <c r="H160" s="3">
        <f t="shared" si="4"/>
        <v>3253.38</v>
      </c>
      <c r="I160" s="3">
        <v>0</v>
      </c>
      <c r="J160" s="3">
        <v>3253.38</v>
      </c>
      <c r="K160" t="s">
        <v>61</v>
      </c>
      <c r="L160" t="s">
        <v>19</v>
      </c>
      <c r="M160" t="s">
        <v>53</v>
      </c>
      <c r="N160" t="str">
        <f t="shared" si="5"/>
        <v>Feb</v>
      </c>
    </row>
    <row r="161" spans="1:14" x14ac:dyDescent="0.3">
      <c r="A161" t="s">
        <v>452</v>
      </c>
      <c r="B161" t="s">
        <v>121</v>
      </c>
      <c r="C161" t="s">
        <v>453</v>
      </c>
      <c r="D161" t="s">
        <v>225</v>
      </c>
      <c r="E161" t="s">
        <v>24</v>
      </c>
      <c r="F161" s="3">
        <v>6.48</v>
      </c>
      <c r="G161">
        <v>607</v>
      </c>
      <c r="H161" s="3">
        <f t="shared" si="4"/>
        <v>3933.36</v>
      </c>
      <c r="I161" s="3">
        <v>0</v>
      </c>
      <c r="J161" s="3">
        <v>3933.36</v>
      </c>
      <c r="K161" t="s">
        <v>18</v>
      </c>
      <c r="L161" t="s">
        <v>52</v>
      </c>
      <c r="M161" t="s">
        <v>37</v>
      </c>
      <c r="N161" t="str">
        <f t="shared" si="5"/>
        <v>Aug</v>
      </c>
    </row>
    <row r="162" spans="1:14" x14ac:dyDescent="0.3">
      <c r="A162" t="s">
        <v>454</v>
      </c>
      <c r="B162" t="s">
        <v>455</v>
      </c>
      <c r="C162" t="s">
        <v>45</v>
      </c>
      <c r="D162" t="s">
        <v>225</v>
      </c>
      <c r="E162" t="s">
        <v>32</v>
      </c>
      <c r="F162" s="3">
        <v>13.77</v>
      </c>
      <c r="G162">
        <v>1190</v>
      </c>
      <c r="H162" s="3">
        <f t="shared" si="4"/>
        <v>16386.3</v>
      </c>
      <c r="I162" s="3">
        <v>819.32</v>
      </c>
      <c r="J162" s="3">
        <v>15566.98</v>
      </c>
      <c r="K162" t="s">
        <v>61</v>
      </c>
      <c r="L162" t="s">
        <v>52</v>
      </c>
      <c r="M162" t="s">
        <v>20</v>
      </c>
      <c r="N162" t="str">
        <f t="shared" si="5"/>
        <v>Oct</v>
      </c>
    </row>
    <row r="163" spans="1:14" x14ac:dyDescent="0.3">
      <c r="A163" t="s">
        <v>456</v>
      </c>
      <c r="B163" t="s">
        <v>457</v>
      </c>
      <c r="C163" t="s">
        <v>458</v>
      </c>
      <c r="D163" t="s">
        <v>60</v>
      </c>
      <c r="E163" t="s">
        <v>24</v>
      </c>
      <c r="F163" s="3">
        <v>12.45</v>
      </c>
      <c r="G163">
        <v>1734</v>
      </c>
      <c r="H163" s="3">
        <f t="shared" si="4"/>
        <v>21588.3</v>
      </c>
      <c r="I163" s="3">
        <v>2158.83</v>
      </c>
      <c r="J163" s="3">
        <v>19429.47</v>
      </c>
      <c r="K163" t="s">
        <v>18</v>
      </c>
      <c r="L163" t="s">
        <v>26</v>
      </c>
      <c r="M163" t="s">
        <v>93</v>
      </c>
      <c r="N163" t="str">
        <f t="shared" si="5"/>
        <v>Mar</v>
      </c>
    </row>
    <row r="164" spans="1:14" x14ac:dyDescent="0.3">
      <c r="A164" t="s">
        <v>459</v>
      </c>
      <c r="B164" t="s">
        <v>460</v>
      </c>
      <c r="C164" t="s">
        <v>441</v>
      </c>
      <c r="D164" t="s">
        <v>60</v>
      </c>
      <c r="E164" t="s">
        <v>32</v>
      </c>
      <c r="F164" s="3">
        <v>8.57</v>
      </c>
      <c r="G164">
        <v>1268</v>
      </c>
      <c r="H164" s="3">
        <f t="shared" si="4"/>
        <v>10866.76</v>
      </c>
      <c r="I164" s="3">
        <v>543.34</v>
      </c>
      <c r="J164" s="3">
        <v>10323.42</v>
      </c>
      <c r="K164" t="s">
        <v>61</v>
      </c>
      <c r="L164" t="s">
        <v>79</v>
      </c>
      <c r="M164" t="s">
        <v>53</v>
      </c>
      <c r="N164" t="str">
        <f t="shared" si="5"/>
        <v>May</v>
      </c>
    </row>
    <row r="165" spans="1:14" x14ac:dyDescent="0.3">
      <c r="A165" t="s">
        <v>461</v>
      </c>
      <c r="B165" t="s">
        <v>462</v>
      </c>
      <c r="C165" t="s">
        <v>287</v>
      </c>
      <c r="D165" t="s">
        <v>110</v>
      </c>
      <c r="E165" t="s">
        <v>17</v>
      </c>
      <c r="F165" s="3">
        <v>9.57</v>
      </c>
      <c r="G165">
        <v>1636</v>
      </c>
      <c r="H165" s="3">
        <f t="shared" si="4"/>
        <v>15656.52</v>
      </c>
      <c r="I165" s="3">
        <v>1565.65</v>
      </c>
      <c r="J165" s="3">
        <v>14090.87</v>
      </c>
      <c r="K165" t="s">
        <v>18</v>
      </c>
      <c r="L165" t="s">
        <v>79</v>
      </c>
      <c r="M165" t="s">
        <v>93</v>
      </c>
      <c r="N165" t="str">
        <f t="shared" si="5"/>
        <v>Jul</v>
      </c>
    </row>
    <row r="166" spans="1:14" x14ac:dyDescent="0.3">
      <c r="A166" t="s">
        <v>463</v>
      </c>
      <c r="B166" t="s">
        <v>204</v>
      </c>
      <c r="C166" t="s">
        <v>369</v>
      </c>
      <c r="D166" t="s">
        <v>66</v>
      </c>
      <c r="E166" t="s">
        <v>51</v>
      </c>
      <c r="F166" s="3">
        <v>4.9000000000000004</v>
      </c>
      <c r="G166">
        <v>1764</v>
      </c>
      <c r="H166" s="3">
        <f t="shared" si="4"/>
        <v>8643.6</v>
      </c>
      <c r="I166" s="3">
        <v>432.18</v>
      </c>
      <c r="J166" s="3">
        <v>8211.42</v>
      </c>
      <c r="K166" t="s">
        <v>61</v>
      </c>
      <c r="L166" t="s">
        <v>19</v>
      </c>
      <c r="M166" t="s">
        <v>20</v>
      </c>
      <c r="N166" t="str">
        <f t="shared" si="5"/>
        <v>Oct</v>
      </c>
    </row>
    <row r="167" spans="1:14" x14ac:dyDescent="0.3">
      <c r="A167" t="s">
        <v>464</v>
      </c>
      <c r="B167" t="s">
        <v>465</v>
      </c>
      <c r="C167" t="s">
        <v>466</v>
      </c>
      <c r="D167" t="s">
        <v>41</v>
      </c>
      <c r="E167" t="s">
        <v>51</v>
      </c>
      <c r="F167" s="3">
        <v>14.56</v>
      </c>
      <c r="G167">
        <v>1450</v>
      </c>
      <c r="H167" s="3">
        <f t="shared" si="4"/>
        <v>21112</v>
      </c>
      <c r="I167" s="3">
        <v>3166.8</v>
      </c>
      <c r="J167" s="3">
        <v>17945.2</v>
      </c>
      <c r="K167" t="s">
        <v>67</v>
      </c>
      <c r="L167" t="s">
        <v>19</v>
      </c>
      <c r="M167" t="s">
        <v>53</v>
      </c>
      <c r="N167" t="str">
        <f t="shared" si="5"/>
        <v>Dec</v>
      </c>
    </row>
    <row r="168" spans="1:14" x14ac:dyDescent="0.3">
      <c r="A168" t="s">
        <v>467</v>
      </c>
      <c r="B168" t="s">
        <v>468</v>
      </c>
      <c r="C168" t="s">
        <v>469</v>
      </c>
      <c r="D168" t="s">
        <v>110</v>
      </c>
      <c r="E168" t="s">
        <v>36</v>
      </c>
      <c r="F168" s="3">
        <v>10.55</v>
      </c>
      <c r="G168">
        <v>1717</v>
      </c>
      <c r="H168" s="3">
        <f t="shared" si="4"/>
        <v>18114.350000000002</v>
      </c>
      <c r="I168" s="3">
        <v>0</v>
      </c>
      <c r="J168" s="3">
        <v>18114.349999999999</v>
      </c>
      <c r="K168" t="s">
        <v>119</v>
      </c>
      <c r="L168" t="s">
        <v>79</v>
      </c>
      <c r="M168" t="s">
        <v>93</v>
      </c>
      <c r="N168" t="str">
        <f t="shared" si="5"/>
        <v>Oct</v>
      </c>
    </row>
    <row r="169" spans="1:14" x14ac:dyDescent="0.3">
      <c r="A169" t="s">
        <v>470</v>
      </c>
      <c r="B169" t="s">
        <v>313</v>
      </c>
      <c r="C169" t="s">
        <v>239</v>
      </c>
      <c r="D169" t="s">
        <v>270</v>
      </c>
      <c r="E169" t="s">
        <v>36</v>
      </c>
      <c r="F169" s="3">
        <v>6.11</v>
      </c>
      <c r="G169">
        <v>1589</v>
      </c>
      <c r="H169" s="3">
        <f t="shared" si="4"/>
        <v>9708.7900000000009</v>
      </c>
      <c r="I169" s="3">
        <v>1456.32</v>
      </c>
      <c r="J169" s="3">
        <v>8252.4699999999993</v>
      </c>
      <c r="K169" t="s">
        <v>67</v>
      </c>
      <c r="L169" t="s">
        <v>26</v>
      </c>
      <c r="M169" t="s">
        <v>62</v>
      </c>
      <c r="N169" t="str">
        <f t="shared" si="5"/>
        <v>Jul</v>
      </c>
    </row>
    <row r="170" spans="1:14" x14ac:dyDescent="0.3">
      <c r="A170" t="s">
        <v>471</v>
      </c>
      <c r="B170" t="s">
        <v>472</v>
      </c>
      <c r="C170" t="s">
        <v>473</v>
      </c>
      <c r="D170" t="s">
        <v>46</v>
      </c>
      <c r="E170" t="s">
        <v>24</v>
      </c>
      <c r="F170" s="3">
        <v>8.35</v>
      </c>
      <c r="G170">
        <v>1125</v>
      </c>
      <c r="H170" s="3">
        <f t="shared" si="4"/>
        <v>9393.75</v>
      </c>
      <c r="I170" s="3">
        <v>0</v>
      </c>
      <c r="J170" s="3">
        <v>9393.75</v>
      </c>
      <c r="K170" t="s">
        <v>61</v>
      </c>
      <c r="L170" t="s">
        <v>26</v>
      </c>
      <c r="M170" t="s">
        <v>20</v>
      </c>
      <c r="N170" t="str">
        <f t="shared" si="5"/>
        <v>Mar</v>
      </c>
    </row>
    <row r="171" spans="1:14" x14ac:dyDescent="0.3">
      <c r="A171" t="s">
        <v>474</v>
      </c>
      <c r="B171" t="s">
        <v>475</v>
      </c>
      <c r="C171" t="s">
        <v>476</v>
      </c>
      <c r="D171" t="s">
        <v>270</v>
      </c>
      <c r="E171" t="s">
        <v>36</v>
      </c>
      <c r="F171" s="3">
        <v>12.72</v>
      </c>
      <c r="G171">
        <v>1599</v>
      </c>
      <c r="H171" s="3">
        <f t="shared" si="4"/>
        <v>20339.280000000002</v>
      </c>
      <c r="I171" s="3">
        <v>1016.96</v>
      </c>
      <c r="J171" s="3">
        <v>19322.32</v>
      </c>
      <c r="K171" t="s">
        <v>119</v>
      </c>
      <c r="L171" t="s">
        <v>19</v>
      </c>
      <c r="M171" t="s">
        <v>37</v>
      </c>
      <c r="N171" t="str">
        <f t="shared" si="5"/>
        <v>Jul</v>
      </c>
    </row>
    <row r="172" spans="1:14" x14ac:dyDescent="0.3">
      <c r="A172" t="s">
        <v>477</v>
      </c>
      <c r="B172" t="s">
        <v>478</v>
      </c>
      <c r="C172" t="s">
        <v>369</v>
      </c>
      <c r="D172" t="s">
        <v>50</v>
      </c>
      <c r="E172" t="s">
        <v>32</v>
      </c>
      <c r="F172" s="3">
        <v>9.74</v>
      </c>
      <c r="G172">
        <v>1560</v>
      </c>
      <c r="H172" s="3">
        <f t="shared" si="4"/>
        <v>15194.4</v>
      </c>
      <c r="I172" s="3">
        <v>2279.16</v>
      </c>
      <c r="J172" s="3">
        <v>12915.24</v>
      </c>
      <c r="K172" t="s">
        <v>67</v>
      </c>
      <c r="L172" t="s">
        <v>26</v>
      </c>
      <c r="M172" t="s">
        <v>53</v>
      </c>
      <c r="N172" t="str">
        <f t="shared" si="5"/>
        <v>Jul</v>
      </c>
    </row>
    <row r="173" spans="1:14" x14ac:dyDescent="0.3">
      <c r="A173" t="s">
        <v>479</v>
      </c>
      <c r="B173" t="s">
        <v>302</v>
      </c>
      <c r="C173" t="s">
        <v>446</v>
      </c>
      <c r="D173" t="s">
        <v>41</v>
      </c>
      <c r="E173" t="s">
        <v>17</v>
      </c>
      <c r="F173" s="3">
        <v>14.29</v>
      </c>
      <c r="G173">
        <v>922</v>
      </c>
      <c r="H173" s="3">
        <f t="shared" si="4"/>
        <v>13175.38</v>
      </c>
      <c r="I173" s="3">
        <v>1976.31</v>
      </c>
      <c r="J173" s="3">
        <v>11199.07</v>
      </c>
      <c r="K173" t="s">
        <v>61</v>
      </c>
      <c r="L173" t="s">
        <v>52</v>
      </c>
      <c r="M173" t="s">
        <v>20</v>
      </c>
      <c r="N173" t="str">
        <f t="shared" si="5"/>
        <v>Aug</v>
      </c>
    </row>
    <row r="174" spans="1:14" x14ac:dyDescent="0.3">
      <c r="A174" t="s">
        <v>480</v>
      </c>
      <c r="B174" t="s">
        <v>481</v>
      </c>
      <c r="C174" t="s">
        <v>140</v>
      </c>
      <c r="D174" t="s">
        <v>270</v>
      </c>
      <c r="E174" t="s">
        <v>36</v>
      </c>
      <c r="F174" s="3">
        <v>12.32</v>
      </c>
      <c r="G174">
        <v>303</v>
      </c>
      <c r="H174" s="3">
        <f t="shared" si="4"/>
        <v>3732.96</v>
      </c>
      <c r="I174" s="3">
        <v>373.3</v>
      </c>
      <c r="J174" s="3">
        <v>3359.66</v>
      </c>
      <c r="K174" t="s">
        <v>18</v>
      </c>
      <c r="L174" t="s">
        <v>52</v>
      </c>
      <c r="M174" t="s">
        <v>53</v>
      </c>
      <c r="N174" t="str">
        <f t="shared" si="5"/>
        <v>Sep</v>
      </c>
    </row>
    <row r="175" spans="1:14" x14ac:dyDescent="0.3">
      <c r="A175" t="s">
        <v>482</v>
      </c>
      <c r="B175" t="s">
        <v>150</v>
      </c>
      <c r="C175" t="s">
        <v>483</v>
      </c>
      <c r="D175" t="s">
        <v>135</v>
      </c>
      <c r="E175" t="s">
        <v>24</v>
      </c>
      <c r="F175" s="3">
        <v>5.35</v>
      </c>
      <c r="G175">
        <v>1582</v>
      </c>
      <c r="H175" s="3">
        <f t="shared" si="4"/>
        <v>8463.6999999999989</v>
      </c>
      <c r="I175" s="3">
        <v>423.19</v>
      </c>
      <c r="J175" s="3">
        <v>8040.51</v>
      </c>
      <c r="K175" t="s">
        <v>61</v>
      </c>
      <c r="L175" t="s">
        <v>52</v>
      </c>
      <c r="M175" t="s">
        <v>20</v>
      </c>
      <c r="N175" t="str">
        <f t="shared" si="5"/>
        <v>Oct</v>
      </c>
    </row>
    <row r="176" spans="1:14" x14ac:dyDescent="0.3">
      <c r="A176" t="s">
        <v>484</v>
      </c>
      <c r="B176" t="s">
        <v>485</v>
      </c>
      <c r="C176" t="s">
        <v>438</v>
      </c>
      <c r="D176" t="s">
        <v>97</v>
      </c>
      <c r="E176" t="s">
        <v>36</v>
      </c>
      <c r="F176" s="3">
        <v>12.53</v>
      </c>
      <c r="G176">
        <v>1831</v>
      </c>
      <c r="H176" s="3">
        <f t="shared" si="4"/>
        <v>22942.43</v>
      </c>
      <c r="I176" s="3">
        <v>2294.2399999999998</v>
      </c>
      <c r="J176" s="3">
        <v>20648.189999999999</v>
      </c>
      <c r="K176" t="s">
        <v>18</v>
      </c>
      <c r="L176" t="s">
        <v>52</v>
      </c>
      <c r="M176" t="s">
        <v>93</v>
      </c>
      <c r="N176" t="str">
        <f t="shared" si="5"/>
        <v>Mar</v>
      </c>
    </row>
    <row r="177" spans="1:14" x14ac:dyDescent="0.3">
      <c r="A177" t="s">
        <v>486</v>
      </c>
      <c r="B177" t="s">
        <v>357</v>
      </c>
      <c r="C177" t="s">
        <v>134</v>
      </c>
      <c r="D177" t="s">
        <v>41</v>
      </c>
      <c r="E177" t="s">
        <v>36</v>
      </c>
      <c r="F177" s="3">
        <v>6.71</v>
      </c>
      <c r="G177">
        <v>187</v>
      </c>
      <c r="H177" s="3">
        <f t="shared" si="4"/>
        <v>1254.77</v>
      </c>
      <c r="I177" s="3">
        <v>125.48</v>
      </c>
      <c r="J177" s="3">
        <v>1129.29</v>
      </c>
      <c r="K177" t="s">
        <v>67</v>
      </c>
      <c r="L177" t="s">
        <v>19</v>
      </c>
      <c r="M177" t="s">
        <v>53</v>
      </c>
      <c r="N177" t="str">
        <f t="shared" si="5"/>
        <v>Jul</v>
      </c>
    </row>
    <row r="178" spans="1:14" x14ac:dyDescent="0.3">
      <c r="A178" t="s">
        <v>487</v>
      </c>
      <c r="B178" t="s">
        <v>344</v>
      </c>
      <c r="C178" t="s">
        <v>488</v>
      </c>
      <c r="D178" t="s">
        <v>110</v>
      </c>
      <c r="E178" t="s">
        <v>36</v>
      </c>
      <c r="F178" s="3">
        <v>3.36</v>
      </c>
      <c r="G178">
        <v>607</v>
      </c>
      <c r="H178" s="3">
        <f t="shared" si="4"/>
        <v>2039.52</v>
      </c>
      <c r="I178" s="3">
        <v>305.93</v>
      </c>
      <c r="J178" s="3">
        <v>1733.59</v>
      </c>
      <c r="K178" t="s">
        <v>67</v>
      </c>
      <c r="L178" t="s">
        <v>52</v>
      </c>
      <c r="M178" t="s">
        <v>37</v>
      </c>
      <c r="N178" t="str">
        <f t="shared" si="5"/>
        <v>Feb</v>
      </c>
    </row>
    <row r="179" spans="1:14" x14ac:dyDescent="0.3">
      <c r="A179" t="s">
        <v>489</v>
      </c>
      <c r="B179" t="s">
        <v>383</v>
      </c>
      <c r="C179" t="s">
        <v>490</v>
      </c>
      <c r="D179" t="s">
        <v>97</v>
      </c>
      <c r="E179" t="s">
        <v>24</v>
      </c>
      <c r="F179" s="3">
        <v>4.95</v>
      </c>
      <c r="G179">
        <v>1730</v>
      </c>
      <c r="H179" s="3">
        <f t="shared" si="4"/>
        <v>8563.5</v>
      </c>
      <c r="I179" s="3">
        <v>428.18</v>
      </c>
      <c r="J179" s="3">
        <v>8135.32</v>
      </c>
      <c r="K179" t="s">
        <v>25</v>
      </c>
      <c r="L179" t="s">
        <v>52</v>
      </c>
      <c r="M179" t="s">
        <v>93</v>
      </c>
      <c r="N179" t="str">
        <f t="shared" si="5"/>
        <v>Nov</v>
      </c>
    </row>
    <row r="180" spans="1:14" x14ac:dyDescent="0.3">
      <c r="A180" t="s">
        <v>491</v>
      </c>
      <c r="B180" t="s">
        <v>492</v>
      </c>
      <c r="C180" t="s">
        <v>493</v>
      </c>
      <c r="D180" t="s">
        <v>46</v>
      </c>
      <c r="E180" t="s">
        <v>24</v>
      </c>
      <c r="F180" s="3">
        <v>2.14</v>
      </c>
      <c r="G180">
        <v>879</v>
      </c>
      <c r="H180" s="3">
        <f t="shared" si="4"/>
        <v>1881.0600000000002</v>
      </c>
      <c r="I180" s="3">
        <v>282.16000000000003</v>
      </c>
      <c r="J180" s="3">
        <v>1598.9</v>
      </c>
      <c r="K180" t="s">
        <v>18</v>
      </c>
      <c r="L180" t="s">
        <v>19</v>
      </c>
      <c r="M180" t="s">
        <v>37</v>
      </c>
      <c r="N180" t="str">
        <f t="shared" si="5"/>
        <v>May</v>
      </c>
    </row>
    <row r="181" spans="1:14" x14ac:dyDescent="0.3">
      <c r="A181" t="s">
        <v>494</v>
      </c>
      <c r="B181" t="s">
        <v>495</v>
      </c>
      <c r="C181" t="s">
        <v>496</v>
      </c>
      <c r="D181" t="s">
        <v>16</v>
      </c>
      <c r="E181" t="s">
        <v>17</v>
      </c>
      <c r="F181" s="3">
        <v>8.4600000000000009</v>
      </c>
      <c r="G181">
        <v>515</v>
      </c>
      <c r="H181" s="3">
        <f t="shared" si="4"/>
        <v>4356.9000000000005</v>
      </c>
      <c r="I181" s="3">
        <v>217.84</v>
      </c>
      <c r="J181" s="3">
        <v>4139.0600000000004</v>
      </c>
      <c r="K181" t="s">
        <v>61</v>
      </c>
      <c r="L181" t="s">
        <v>52</v>
      </c>
      <c r="M181" t="s">
        <v>93</v>
      </c>
      <c r="N181" t="str">
        <f t="shared" si="5"/>
        <v>Nov</v>
      </c>
    </row>
    <row r="182" spans="1:14" x14ac:dyDescent="0.3">
      <c r="A182" t="s">
        <v>497</v>
      </c>
      <c r="B182" t="s">
        <v>498</v>
      </c>
      <c r="C182" t="s">
        <v>254</v>
      </c>
      <c r="D182" t="s">
        <v>50</v>
      </c>
      <c r="E182" t="s">
        <v>42</v>
      </c>
      <c r="F182" s="3">
        <v>7.12</v>
      </c>
      <c r="G182">
        <v>1380</v>
      </c>
      <c r="H182" s="3">
        <f t="shared" si="4"/>
        <v>9825.6</v>
      </c>
      <c r="I182" s="3">
        <v>0</v>
      </c>
      <c r="J182" s="3">
        <v>9825.6</v>
      </c>
      <c r="K182" t="s">
        <v>25</v>
      </c>
      <c r="L182" t="s">
        <v>79</v>
      </c>
      <c r="M182" t="s">
        <v>93</v>
      </c>
      <c r="N182" t="str">
        <f t="shared" si="5"/>
        <v>Nov</v>
      </c>
    </row>
    <row r="183" spans="1:14" x14ac:dyDescent="0.3">
      <c r="A183" t="s">
        <v>499</v>
      </c>
      <c r="B183" t="s">
        <v>337</v>
      </c>
      <c r="C183" t="s">
        <v>291</v>
      </c>
      <c r="D183" t="s">
        <v>135</v>
      </c>
      <c r="E183" t="s">
        <v>42</v>
      </c>
      <c r="F183" s="3">
        <v>8.98</v>
      </c>
      <c r="G183">
        <v>819</v>
      </c>
      <c r="H183" s="3">
        <f t="shared" si="4"/>
        <v>7354.6200000000008</v>
      </c>
      <c r="I183" s="3">
        <v>1103.19</v>
      </c>
      <c r="J183" s="3">
        <v>6251.43</v>
      </c>
      <c r="K183" t="s">
        <v>18</v>
      </c>
      <c r="L183" t="s">
        <v>52</v>
      </c>
      <c r="M183" t="s">
        <v>53</v>
      </c>
      <c r="N183" t="str">
        <f t="shared" si="5"/>
        <v>Sep</v>
      </c>
    </row>
    <row r="184" spans="1:14" x14ac:dyDescent="0.3">
      <c r="A184" t="s">
        <v>500</v>
      </c>
      <c r="B184" t="s">
        <v>501</v>
      </c>
      <c r="C184" t="s">
        <v>502</v>
      </c>
      <c r="D184" t="s">
        <v>16</v>
      </c>
      <c r="E184" t="s">
        <v>51</v>
      </c>
      <c r="F184" s="3">
        <v>12.15</v>
      </c>
      <c r="G184">
        <v>726</v>
      </c>
      <c r="H184" s="3">
        <f t="shared" si="4"/>
        <v>8820.9</v>
      </c>
      <c r="I184" s="3">
        <v>441.05</v>
      </c>
      <c r="J184" s="3">
        <v>8379.85</v>
      </c>
      <c r="K184" t="s">
        <v>18</v>
      </c>
      <c r="L184" t="s">
        <v>79</v>
      </c>
      <c r="M184" t="s">
        <v>62</v>
      </c>
      <c r="N184" t="str">
        <f t="shared" si="5"/>
        <v>May</v>
      </c>
    </row>
    <row r="185" spans="1:14" x14ac:dyDescent="0.3">
      <c r="A185" t="s">
        <v>503</v>
      </c>
      <c r="B185" t="s">
        <v>504</v>
      </c>
      <c r="C185" t="s">
        <v>254</v>
      </c>
      <c r="D185" t="s">
        <v>31</v>
      </c>
      <c r="E185" t="s">
        <v>51</v>
      </c>
      <c r="F185" s="3">
        <v>12.48</v>
      </c>
      <c r="G185">
        <v>378</v>
      </c>
      <c r="H185" s="3">
        <f t="shared" si="4"/>
        <v>4717.4400000000005</v>
      </c>
      <c r="I185" s="3">
        <v>707.62</v>
      </c>
      <c r="J185" s="3">
        <v>4009.82</v>
      </c>
      <c r="K185" t="s">
        <v>119</v>
      </c>
      <c r="L185" t="s">
        <v>26</v>
      </c>
      <c r="M185" t="s">
        <v>62</v>
      </c>
      <c r="N185" t="str">
        <f t="shared" si="5"/>
        <v>Jan</v>
      </c>
    </row>
    <row r="186" spans="1:14" x14ac:dyDescent="0.3">
      <c r="A186" t="s">
        <v>505</v>
      </c>
      <c r="B186" t="s">
        <v>376</v>
      </c>
      <c r="C186" t="s">
        <v>506</v>
      </c>
      <c r="D186" t="s">
        <v>60</v>
      </c>
      <c r="E186" t="s">
        <v>24</v>
      </c>
      <c r="F186" s="3">
        <v>5.46</v>
      </c>
      <c r="G186">
        <v>109</v>
      </c>
      <c r="H186" s="3">
        <f t="shared" si="4"/>
        <v>595.14</v>
      </c>
      <c r="I186" s="3">
        <v>29.76</v>
      </c>
      <c r="J186" s="3">
        <v>565.38</v>
      </c>
      <c r="K186" t="s">
        <v>18</v>
      </c>
      <c r="L186" t="s">
        <v>79</v>
      </c>
      <c r="M186" t="s">
        <v>53</v>
      </c>
      <c r="N186" t="str">
        <f t="shared" si="5"/>
        <v>Feb</v>
      </c>
    </row>
    <row r="187" spans="1:14" x14ac:dyDescent="0.3">
      <c r="A187" t="s">
        <v>507</v>
      </c>
      <c r="B187" t="s">
        <v>508</v>
      </c>
      <c r="C187" t="s">
        <v>143</v>
      </c>
      <c r="D187" t="s">
        <v>31</v>
      </c>
      <c r="E187" t="s">
        <v>32</v>
      </c>
      <c r="F187" s="3">
        <v>4.92</v>
      </c>
      <c r="G187">
        <v>1562</v>
      </c>
      <c r="H187" s="3">
        <f t="shared" si="4"/>
        <v>7685.04</v>
      </c>
      <c r="I187" s="3">
        <v>384.25</v>
      </c>
      <c r="J187" s="3">
        <v>7300.79</v>
      </c>
      <c r="K187" t="s">
        <v>61</v>
      </c>
      <c r="L187" t="s">
        <v>79</v>
      </c>
      <c r="M187" t="s">
        <v>93</v>
      </c>
      <c r="N187" t="str">
        <f t="shared" si="5"/>
        <v>Sep</v>
      </c>
    </row>
    <row r="188" spans="1:14" x14ac:dyDescent="0.3">
      <c r="A188" t="s">
        <v>509</v>
      </c>
      <c r="B188" t="s">
        <v>201</v>
      </c>
      <c r="C188" t="s">
        <v>510</v>
      </c>
      <c r="D188" t="s">
        <v>35</v>
      </c>
      <c r="E188" t="s">
        <v>24</v>
      </c>
      <c r="F188" s="3">
        <v>12.29</v>
      </c>
      <c r="G188">
        <v>914</v>
      </c>
      <c r="H188" s="3">
        <f t="shared" si="4"/>
        <v>11233.06</v>
      </c>
      <c r="I188" s="3">
        <v>1684.96</v>
      </c>
      <c r="J188" s="3">
        <v>9548.1</v>
      </c>
      <c r="K188" t="s">
        <v>119</v>
      </c>
      <c r="L188" t="s">
        <v>52</v>
      </c>
      <c r="M188" t="s">
        <v>53</v>
      </c>
      <c r="N188" t="str">
        <f t="shared" si="5"/>
        <v>Dec</v>
      </c>
    </row>
    <row r="189" spans="1:14" x14ac:dyDescent="0.3">
      <c r="A189" t="s">
        <v>511</v>
      </c>
      <c r="B189" t="s">
        <v>512</v>
      </c>
      <c r="C189" t="s">
        <v>321</v>
      </c>
      <c r="D189" t="s">
        <v>114</v>
      </c>
      <c r="E189" t="s">
        <v>51</v>
      </c>
      <c r="F189" s="3">
        <v>13.98</v>
      </c>
      <c r="G189">
        <v>1083</v>
      </c>
      <c r="H189" s="3">
        <f t="shared" si="4"/>
        <v>15140.34</v>
      </c>
      <c r="I189" s="3">
        <v>1514.03</v>
      </c>
      <c r="J189" s="3">
        <v>13626.31</v>
      </c>
      <c r="K189" t="s">
        <v>18</v>
      </c>
      <c r="L189" t="s">
        <v>52</v>
      </c>
      <c r="M189" t="s">
        <v>93</v>
      </c>
      <c r="N189" t="str">
        <f t="shared" si="5"/>
        <v>Apr</v>
      </c>
    </row>
    <row r="190" spans="1:14" x14ac:dyDescent="0.3">
      <c r="A190" t="s">
        <v>513</v>
      </c>
      <c r="B190" t="s">
        <v>182</v>
      </c>
      <c r="C190" t="s">
        <v>154</v>
      </c>
      <c r="D190" t="s">
        <v>270</v>
      </c>
      <c r="E190" t="s">
        <v>42</v>
      </c>
      <c r="F190" s="3">
        <v>5.47</v>
      </c>
      <c r="G190">
        <v>230</v>
      </c>
      <c r="H190" s="3">
        <f t="shared" si="4"/>
        <v>1258.0999999999999</v>
      </c>
      <c r="I190" s="3">
        <v>0</v>
      </c>
      <c r="J190" s="3">
        <v>1258.0999999999999</v>
      </c>
      <c r="K190" t="s">
        <v>61</v>
      </c>
      <c r="L190" t="s">
        <v>79</v>
      </c>
      <c r="M190" t="s">
        <v>53</v>
      </c>
      <c r="N190" t="str">
        <f t="shared" si="5"/>
        <v>Aug</v>
      </c>
    </row>
    <row r="191" spans="1:14" x14ac:dyDescent="0.3">
      <c r="A191" t="s">
        <v>514</v>
      </c>
      <c r="B191" t="s">
        <v>206</v>
      </c>
      <c r="C191" t="s">
        <v>154</v>
      </c>
      <c r="D191" t="s">
        <v>78</v>
      </c>
      <c r="E191" t="s">
        <v>36</v>
      </c>
      <c r="F191" s="3">
        <v>10.81</v>
      </c>
      <c r="G191">
        <v>739</v>
      </c>
      <c r="H191" s="3">
        <f t="shared" si="4"/>
        <v>7988.59</v>
      </c>
      <c r="I191" s="3">
        <v>1198.29</v>
      </c>
      <c r="J191" s="3">
        <v>6790.3</v>
      </c>
      <c r="K191" t="s">
        <v>18</v>
      </c>
      <c r="L191" t="s">
        <v>79</v>
      </c>
      <c r="M191" t="s">
        <v>20</v>
      </c>
      <c r="N191" t="str">
        <f t="shared" si="5"/>
        <v>Aug</v>
      </c>
    </row>
    <row r="192" spans="1:14" x14ac:dyDescent="0.3">
      <c r="A192" t="s">
        <v>515</v>
      </c>
      <c r="B192" t="s">
        <v>84</v>
      </c>
      <c r="C192" t="s">
        <v>209</v>
      </c>
      <c r="D192" t="s">
        <v>225</v>
      </c>
      <c r="E192" t="s">
        <v>24</v>
      </c>
      <c r="F192" s="3">
        <v>10.56</v>
      </c>
      <c r="G192">
        <v>851</v>
      </c>
      <c r="H192" s="3">
        <f t="shared" si="4"/>
        <v>8986.5600000000013</v>
      </c>
      <c r="I192" s="3">
        <v>898.66</v>
      </c>
      <c r="J192" s="3">
        <v>8087.9</v>
      </c>
      <c r="K192" t="s">
        <v>25</v>
      </c>
      <c r="L192" t="s">
        <v>26</v>
      </c>
      <c r="M192" t="s">
        <v>93</v>
      </c>
      <c r="N192" t="str">
        <f t="shared" si="5"/>
        <v>Aug</v>
      </c>
    </row>
    <row r="193" spans="1:14" x14ac:dyDescent="0.3">
      <c r="A193" t="s">
        <v>516</v>
      </c>
      <c r="B193" t="s">
        <v>517</v>
      </c>
      <c r="C193" t="s">
        <v>236</v>
      </c>
      <c r="D193" t="s">
        <v>60</v>
      </c>
      <c r="E193" t="s">
        <v>24</v>
      </c>
      <c r="F193" s="3">
        <v>3.2</v>
      </c>
      <c r="G193">
        <v>503</v>
      </c>
      <c r="H193" s="3">
        <f t="shared" si="4"/>
        <v>1609.6000000000001</v>
      </c>
      <c r="I193" s="3">
        <v>160.96</v>
      </c>
      <c r="J193" s="3">
        <v>1448.64</v>
      </c>
      <c r="K193" t="s">
        <v>61</v>
      </c>
      <c r="L193" t="s">
        <v>52</v>
      </c>
      <c r="M193" t="s">
        <v>20</v>
      </c>
      <c r="N193" t="str">
        <f t="shared" si="5"/>
        <v>Mar</v>
      </c>
    </row>
    <row r="194" spans="1:14" x14ac:dyDescent="0.3">
      <c r="A194" t="s">
        <v>518</v>
      </c>
      <c r="B194" t="s">
        <v>64</v>
      </c>
      <c r="C194" t="s">
        <v>154</v>
      </c>
      <c r="D194" t="s">
        <v>71</v>
      </c>
      <c r="E194" t="s">
        <v>17</v>
      </c>
      <c r="F194" s="3">
        <v>7.57</v>
      </c>
      <c r="G194">
        <v>779</v>
      </c>
      <c r="H194" s="3">
        <f t="shared" si="4"/>
        <v>5897.0300000000007</v>
      </c>
      <c r="I194" s="3">
        <v>589.70000000000005</v>
      </c>
      <c r="J194" s="3">
        <v>5307.33</v>
      </c>
      <c r="K194" t="s">
        <v>119</v>
      </c>
      <c r="L194" t="s">
        <v>19</v>
      </c>
      <c r="M194" t="s">
        <v>20</v>
      </c>
      <c r="N194" t="str">
        <f t="shared" si="5"/>
        <v>Jan</v>
      </c>
    </row>
    <row r="195" spans="1:14" x14ac:dyDescent="0.3">
      <c r="A195" t="s">
        <v>519</v>
      </c>
      <c r="B195" t="s">
        <v>520</v>
      </c>
      <c r="C195" t="s">
        <v>261</v>
      </c>
      <c r="D195" t="s">
        <v>41</v>
      </c>
      <c r="E195" t="s">
        <v>32</v>
      </c>
      <c r="F195" s="3">
        <v>5.74</v>
      </c>
      <c r="G195">
        <v>590</v>
      </c>
      <c r="H195" s="3">
        <f t="shared" ref="H195:H258" si="6">F195*G195</f>
        <v>3386.6</v>
      </c>
      <c r="I195" s="3">
        <v>169.33</v>
      </c>
      <c r="J195" s="3">
        <v>3217.27</v>
      </c>
      <c r="K195" t="s">
        <v>18</v>
      </c>
      <c r="L195" t="s">
        <v>19</v>
      </c>
      <c r="M195" t="s">
        <v>27</v>
      </c>
      <c r="N195" t="str">
        <f t="shared" ref="N195:N258" si="7">TEXT(B195,"mmm")</f>
        <v>Mar</v>
      </c>
    </row>
    <row r="196" spans="1:14" x14ac:dyDescent="0.3">
      <c r="A196" t="s">
        <v>521</v>
      </c>
      <c r="B196" t="s">
        <v>512</v>
      </c>
      <c r="C196" t="s">
        <v>321</v>
      </c>
      <c r="D196" t="s">
        <v>135</v>
      </c>
      <c r="E196" t="s">
        <v>32</v>
      </c>
      <c r="F196" s="3">
        <v>13.83</v>
      </c>
      <c r="G196">
        <v>261</v>
      </c>
      <c r="H196" s="3">
        <f t="shared" si="6"/>
        <v>3609.63</v>
      </c>
      <c r="I196" s="3">
        <v>360.96</v>
      </c>
      <c r="J196" s="3">
        <v>3248.67</v>
      </c>
      <c r="K196" t="s">
        <v>61</v>
      </c>
      <c r="L196" t="s">
        <v>52</v>
      </c>
      <c r="M196" t="s">
        <v>62</v>
      </c>
      <c r="N196" t="str">
        <f t="shared" si="7"/>
        <v>Apr</v>
      </c>
    </row>
    <row r="197" spans="1:14" x14ac:dyDescent="0.3">
      <c r="A197" t="s">
        <v>522</v>
      </c>
      <c r="B197" t="s">
        <v>523</v>
      </c>
      <c r="C197" t="s">
        <v>308</v>
      </c>
      <c r="D197" t="s">
        <v>114</v>
      </c>
      <c r="E197" t="s">
        <v>36</v>
      </c>
      <c r="F197" s="3">
        <v>3.16</v>
      </c>
      <c r="G197">
        <v>1766</v>
      </c>
      <c r="H197" s="3">
        <f t="shared" si="6"/>
        <v>5580.56</v>
      </c>
      <c r="I197" s="3">
        <v>0</v>
      </c>
      <c r="J197" s="3">
        <v>5580.56</v>
      </c>
      <c r="K197" t="s">
        <v>119</v>
      </c>
      <c r="L197" t="s">
        <v>26</v>
      </c>
      <c r="M197" t="s">
        <v>27</v>
      </c>
      <c r="N197" t="str">
        <f t="shared" si="7"/>
        <v>Nov</v>
      </c>
    </row>
    <row r="198" spans="1:14" x14ac:dyDescent="0.3">
      <c r="A198" t="s">
        <v>524</v>
      </c>
      <c r="B198" t="s">
        <v>525</v>
      </c>
      <c r="C198" t="s">
        <v>443</v>
      </c>
      <c r="D198" t="s">
        <v>110</v>
      </c>
      <c r="E198" t="s">
        <v>17</v>
      </c>
      <c r="F198" s="3">
        <v>6.19</v>
      </c>
      <c r="G198">
        <v>152</v>
      </c>
      <c r="H198" s="3">
        <f t="shared" si="6"/>
        <v>940.88000000000011</v>
      </c>
      <c r="I198" s="3">
        <v>94.09</v>
      </c>
      <c r="J198" s="3">
        <v>846.79</v>
      </c>
      <c r="K198" t="s">
        <v>61</v>
      </c>
      <c r="L198" t="s">
        <v>26</v>
      </c>
      <c r="M198" t="s">
        <v>27</v>
      </c>
      <c r="N198" t="str">
        <f t="shared" si="7"/>
        <v>Aug</v>
      </c>
    </row>
    <row r="199" spans="1:14" x14ac:dyDescent="0.3">
      <c r="A199" t="s">
        <v>526</v>
      </c>
      <c r="B199" t="s">
        <v>527</v>
      </c>
      <c r="C199" t="s">
        <v>30</v>
      </c>
      <c r="D199" t="s">
        <v>270</v>
      </c>
      <c r="E199" t="s">
        <v>51</v>
      </c>
      <c r="F199" s="3">
        <v>8.3699999999999992</v>
      </c>
      <c r="G199">
        <v>268</v>
      </c>
      <c r="H199" s="3">
        <f t="shared" si="6"/>
        <v>2243.16</v>
      </c>
      <c r="I199" s="3">
        <v>112.16</v>
      </c>
      <c r="J199" s="3">
        <v>2131</v>
      </c>
      <c r="K199" t="s">
        <v>67</v>
      </c>
      <c r="L199" t="s">
        <v>26</v>
      </c>
      <c r="M199" t="s">
        <v>37</v>
      </c>
      <c r="N199" t="str">
        <f t="shared" si="7"/>
        <v>Dec</v>
      </c>
    </row>
    <row r="200" spans="1:14" x14ac:dyDescent="0.3">
      <c r="A200" t="s">
        <v>528</v>
      </c>
      <c r="B200" t="s">
        <v>238</v>
      </c>
      <c r="C200" t="s">
        <v>74</v>
      </c>
      <c r="D200" t="s">
        <v>31</v>
      </c>
      <c r="E200" t="s">
        <v>42</v>
      </c>
      <c r="F200" s="3">
        <v>6.48</v>
      </c>
      <c r="G200">
        <v>1665</v>
      </c>
      <c r="H200" s="3">
        <f t="shared" si="6"/>
        <v>10789.2</v>
      </c>
      <c r="I200" s="3">
        <v>539.46</v>
      </c>
      <c r="J200" s="3">
        <v>10249.74</v>
      </c>
      <c r="K200" t="s">
        <v>25</v>
      </c>
      <c r="L200" t="s">
        <v>19</v>
      </c>
      <c r="M200" t="s">
        <v>93</v>
      </c>
      <c r="N200" t="str">
        <f t="shared" si="7"/>
        <v>Jan</v>
      </c>
    </row>
    <row r="201" spans="1:14" x14ac:dyDescent="0.3">
      <c r="A201" t="s">
        <v>529</v>
      </c>
      <c r="B201" t="s">
        <v>195</v>
      </c>
      <c r="C201" t="s">
        <v>143</v>
      </c>
      <c r="D201" t="s">
        <v>114</v>
      </c>
      <c r="E201" t="s">
        <v>42</v>
      </c>
      <c r="F201" s="3">
        <v>7.05</v>
      </c>
      <c r="G201">
        <v>858</v>
      </c>
      <c r="H201" s="3">
        <f t="shared" si="6"/>
        <v>6048.9</v>
      </c>
      <c r="I201" s="3">
        <v>0</v>
      </c>
      <c r="J201" s="3">
        <v>6048.9</v>
      </c>
      <c r="K201" t="s">
        <v>67</v>
      </c>
      <c r="L201" t="s">
        <v>79</v>
      </c>
      <c r="M201" t="s">
        <v>27</v>
      </c>
      <c r="N201" t="str">
        <f t="shared" si="7"/>
        <v>Jun</v>
      </c>
    </row>
    <row r="202" spans="1:14" x14ac:dyDescent="0.3">
      <c r="A202" t="s">
        <v>530</v>
      </c>
      <c r="B202" t="s">
        <v>531</v>
      </c>
      <c r="C202" t="s">
        <v>453</v>
      </c>
      <c r="D202" t="s">
        <v>60</v>
      </c>
      <c r="E202" t="s">
        <v>17</v>
      </c>
      <c r="F202" s="3">
        <v>8.48</v>
      </c>
      <c r="G202">
        <v>282</v>
      </c>
      <c r="H202" s="3">
        <f t="shared" si="6"/>
        <v>2391.36</v>
      </c>
      <c r="I202" s="3">
        <v>119.57</v>
      </c>
      <c r="J202" s="3">
        <v>2271.79</v>
      </c>
      <c r="K202" t="s">
        <v>67</v>
      </c>
      <c r="L202" t="s">
        <v>52</v>
      </c>
      <c r="M202" t="s">
        <v>20</v>
      </c>
      <c r="N202" t="str">
        <f t="shared" si="7"/>
        <v>Feb</v>
      </c>
    </row>
    <row r="203" spans="1:14" x14ac:dyDescent="0.3">
      <c r="A203" t="s">
        <v>532</v>
      </c>
      <c r="B203" t="s">
        <v>533</v>
      </c>
      <c r="C203" t="s">
        <v>387</v>
      </c>
      <c r="D203" t="s">
        <v>135</v>
      </c>
      <c r="E203" t="s">
        <v>36</v>
      </c>
      <c r="F203" s="3">
        <v>5.61</v>
      </c>
      <c r="G203">
        <v>351</v>
      </c>
      <c r="H203" s="3">
        <f t="shared" si="6"/>
        <v>1969.1100000000001</v>
      </c>
      <c r="I203" s="3">
        <v>196.91</v>
      </c>
      <c r="J203" s="3">
        <v>1772.2</v>
      </c>
      <c r="K203" t="s">
        <v>67</v>
      </c>
      <c r="L203" t="s">
        <v>79</v>
      </c>
      <c r="M203" t="s">
        <v>20</v>
      </c>
      <c r="N203" t="str">
        <f t="shared" si="7"/>
        <v>Jan</v>
      </c>
    </row>
    <row r="204" spans="1:14" x14ac:dyDescent="0.3">
      <c r="A204" t="s">
        <v>534</v>
      </c>
      <c r="B204" t="s">
        <v>535</v>
      </c>
      <c r="C204" t="s">
        <v>349</v>
      </c>
      <c r="D204" t="s">
        <v>35</v>
      </c>
      <c r="E204" t="s">
        <v>36</v>
      </c>
      <c r="F204" s="3">
        <v>10.07</v>
      </c>
      <c r="G204">
        <v>1148</v>
      </c>
      <c r="H204" s="3">
        <f t="shared" si="6"/>
        <v>11560.36</v>
      </c>
      <c r="I204" s="3">
        <v>1156.04</v>
      </c>
      <c r="J204" s="3">
        <v>10404.32</v>
      </c>
      <c r="K204" t="s">
        <v>67</v>
      </c>
      <c r="L204" t="s">
        <v>79</v>
      </c>
      <c r="M204" t="s">
        <v>20</v>
      </c>
      <c r="N204" t="str">
        <f t="shared" si="7"/>
        <v>May</v>
      </c>
    </row>
    <row r="205" spans="1:14" x14ac:dyDescent="0.3">
      <c r="A205" t="s">
        <v>536</v>
      </c>
      <c r="B205" t="s">
        <v>537</v>
      </c>
      <c r="C205" t="s">
        <v>158</v>
      </c>
      <c r="D205" t="s">
        <v>135</v>
      </c>
      <c r="E205" t="s">
        <v>17</v>
      </c>
      <c r="F205" s="3">
        <v>3.78</v>
      </c>
      <c r="G205">
        <v>1948</v>
      </c>
      <c r="H205" s="3">
        <f t="shared" si="6"/>
        <v>7363.44</v>
      </c>
      <c r="I205" s="3">
        <v>368.17</v>
      </c>
      <c r="J205" s="3">
        <v>6995.27</v>
      </c>
      <c r="K205" t="s">
        <v>67</v>
      </c>
      <c r="L205" t="s">
        <v>79</v>
      </c>
      <c r="M205" t="s">
        <v>20</v>
      </c>
      <c r="N205" t="str">
        <f t="shared" si="7"/>
        <v>Oct</v>
      </c>
    </row>
    <row r="206" spans="1:14" x14ac:dyDescent="0.3">
      <c r="A206" t="s">
        <v>538</v>
      </c>
      <c r="B206" t="s">
        <v>437</v>
      </c>
      <c r="C206" t="s">
        <v>400</v>
      </c>
      <c r="D206" t="s">
        <v>97</v>
      </c>
      <c r="E206" t="s">
        <v>24</v>
      </c>
      <c r="F206" s="3">
        <v>14.31</v>
      </c>
      <c r="G206">
        <v>1599</v>
      </c>
      <c r="H206" s="3">
        <f t="shared" si="6"/>
        <v>22881.690000000002</v>
      </c>
      <c r="I206" s="3">
        <v>2288.17</v>
      </c>
      <c r="J206" s="3">
        <v>20593.52</v>
      </c>
      <c r="K206" t="s">
        <v>67</v>
      </c>
      <c r="L206" t="s">
        <v>52</v>
      </c>
      <c r="M206" t="s">
        <v>20</v>
      </c>
      <c r="N206" t="str">
        <f t="shared" si="7"/>
        <v>Jan</v>
      </c>
    </row>
    <row r="207" spans="1:14" x14ac:dyDescent="0.3">
      <c r="A207" t="s">
        <v>539</v>
      </c>
      <c r="B207" t="s">
        <v>14</v>
      </c>
      <c r="C207" t="s">
        <v>400</v>
      </c>
      <c r="D207" t="s">
        <v>114</v>
      </c>
      <c r="E207" t="s">
        <v>17</v>
      </c>
      <c r="F207" s="3">
        <v>8.8699999999999992</v>
      </c>
      <c r="G207">
        <v>1334</v>
      </c>
      <c r="H207" s="3">
        <f t="shared" si="6"/>
        <v>11832.579999999998</v>
      </c>
      <c r="I207" s="3">
        <v>1183.26</v>
      </c>
      <c r="J207" s="3">
        <v>10649.32</v>
      </c>
      <c r="K207" t="s">
        <v>119</v>
      </c>
      <c r="L207" t="s">
        <v>26</v>
      </c>
      <c r="M207" t="s">
        <v>27</v>
      </c>
      <c r="N207" t="str">
        <f t="shared" si="7"/>
        <v>Nov</v>
      </c>
    </row>
    <row r="208" spans="1:14" x14ac:dyDescent="0.3">
      <c r="A208" t="s">
        <v>540</v>
      </c>
      <c r="B208" t="s">
        <v>440</v>
      </c>
      <c r="C208" t="s">
        <v>151</v>
      </c>
      <c r="D208" t="s">
        <v>60</v>
      </c>
      <c r="E208" t="s">
        <v>24</v>
      </c>
      <c r="F208" s="3">
        <v>10.8</v>
      </c>
      <c r="G208">
        <v>343</v>
      </c>
      <c r="H208" s="3">
        <f t="shared" si="6"/>
        <v>3704.4</v>
      </c>
      <c r="I208" s="3">
        <v>555.66</v>
      </c>
      <c r="J208" s="3">
        <v>3148.74</v>
      </c>
      <c r="K208" t="s">
        <v>119</v>
      </c>
      <c r="L208" t="s">
        <v>52</v>
      </c>
      <c r="M208" t="s">
        <v>37</v>
      </c>
      <c r="N208" t="str">
        <f t="shared" si="7"/>
        <v>Jul</v>
      </c>
    </row>
    <row r="209" spans="1:14" x14ac:dyDescent="0.3">
      <c r="A209" t="s">
        <v>541</v>
      </c>
      <c r="B209" t="s">
        <v>542</v>
      </c>
      <c r="C209" t="s">
        <v>34</v>
      </c>
      <c r="D209" t="s">
        <v>92</v>
      </c>
      <c r="E209" t="s">
        <v>36</v>
      </c>
      <c r="F209" s="3">
        <v>5.72</v>
      </c>
      <c r="G209">
        <v>1491</v>
      </c>
      <c r="H209" s="3">
        <f t="shared" si="6"/>
        <v>8528.52</v>
      </c>
      <c r="I209" s="3">
        <v>852.85</v>
      </c>
      <c r="J209" s="3">
        <v>7675.67</v>
      </c>
      <c r="K209" t="s">
        <v>61</v>
      </c>
      <c r="L209" t="s">
        <v>52</v>
      </c>
      <c r="M209" t="s">
        <v>62</v>
      </c>
      <c r="N209" t="str">
        <f t="shared" si="7"/>
        <v>Apr</v>
      </c>
    </row>
    <row r="210" spans="1:14" x14ac:dyDescent="0.3">
      <c r="A210" t="s">
        <v>543</v>
      </c>
      <c r="B210" t="s">
        <v>544</v>
      </c>
      <c r="C210" t="s">
        <v>311</v>
      </c>
      <c r="D210" t="s">
        <v>31</v>
      </c>
      <c r="E210" t="s">
        <v>24</v>
      </c>
      <c r="F210" s="3">
        <v>5.81</v>
      </c>
      <c r="G210">
        <v>975</v>
      </c>
      <c r="H210" s="3">
        <f t="shared" si="6"/>
        <v>5664.75</v>
      </c>
      <c r="I210" s="3">
        <v>0</v>
      </c>
      <c r="J210" s="3">
        <v>5664.75</v>
      </c>
      <c r="K210" t="s">
        <v>61</v>
      </c>
      <c r="L210" t="s">
        <v>52</v>
      </c>
      <c r="M210" t="s">
        <v>62</v>
      </c>
      <c r="N210" t="str">
        <f t="shared" si="7"/>
        <v>Jul</v>
      </c>
    </row>
    <row r="211" spans="1:14" x14ac:dyDescent="0.3">
      <c r="A211" t="s">
        <v>545</v>
      </c>
      <c r="B211" t="s">
        <v>420</v>
      </c>
      <c r="C211" t="s">
        <v>546</v>
      </c>
      <c r="D211" t="s">
        <v>225</v>
      </c>
      <c r="E211" t="s">
        <v>51</v>
      </c>
      <c r="F211" s="3">
        <v>14.26</v>
      </c>
      <c r="G211">
        <v>1789</v>
      </c>
      <c r="H211" s="3">
        <f t="shared" si="6"/>
        <v>25511.14</v>
      </c>
      <c r="I211" s="3">
        <v>3826.67</v>
      </c>
      <c r="J211" s="3">
        <v>21684.47</v>
      </c>
      <c r="K211" t="s">
        <v>67</v>
      </c>
      <c r="L211" t="s">
        <v>26</v>
      </c>
      <c r="M211" t="s">
        <v>53</v>
      </c>
      <c r="N211" t="str">
        <f t="shared" si="7"/>
        <v>Mar</v>
      </c>
    </row>
    <row r="212" spans="1:14" x14ac:dyDescent="0.3">
      <c r="A212" t="s">
        <v>547</v>
      </c>
      <c r="B212" t="s">
        <v>548</v>
      </c>
      <c r="C212" t="s">
        <v>549</v>
      </c>
      <c r="D212" t="s">
        <v>110</v>
      </c>
      <c r="E212" t="s">
        <v>36</v>
      </c>
      <c r="F212" s="3">
        <v>11.8</v>
      </c>
      <c r="G212">
        <v>1040</v>
      </c>
      <c r="H212" s="3">
        <f t="shared" si="6"/>
        <v>12272</v>
      </c>
      <c r="I212" s="3">
        <v>1840.8</v>
      </c>
      <c r="J212" s="3">
        <v>10431.200000000001</v>
      </c>
      <c r="K212" t="s">
        <v>119</v>
      </c>
      <c r="L212" t="s">
        <v>79</v>
      </c>
      <c r="M212" t="s">
        <v>37</v>
      </c>
      <c r="N212" t="str">
        <f t="shared" si="7"/>
        <v>Oct</v>
      </c>
    </row>
    <row r="213" spans="1:14" x14ac:dyDescent="0.3">
      <c r="A213" t="s">
        <v>550</v>
      </c>
      <c r="B213" t="s">
        <v>551</v>
      </c>
      <c r="C213" t="s">
        <v>158</v>
      </c>
      <c r="D213" t="s">
        <v>66</v>
      </c>
      <c r="E213" t="s">
        <v>42</v>
      </c>
      <c r="F213" s="3">
        <v>7.67</v>
      </c>
      <c r="G213">
        <v>513</v>
      </c>
      <c r="H213" s="3">
        <f t="shared" si="6"/>
        <v>3934.71</v>
      </c>
      <c r="I213" s="3">
        <v>196.74</v>
      </c>
      <c r="J213" s="3">
        <v>3737.97</v>
      </c>
      <c r="K213" t="s">
        <v>25</v>
      </c>
      <c r="L213" t="s">
        <v>79</v>
      </c>
      <c r="M213" t="s">
        <v>93</v>
      </c>
      <c r="N213" t="str">
        <f t="shared" si="7"/>
        <v>Jan</v>
      </c>
    </row>
    <row r="214" spans="1:14" x14ac:dyDescent="0.3">
      <c r="A214" t="s">
        <v>552</v>
      </c>
      <c r="B214" t="s">
        <v>553</v>
      </c>
      <c r="C214" t="s">
        <v>554</v>
      </c>
      <c r="D214" t="s">
        <v>114</v>
      </c>
      <c r="E214" t="s">
        <v>42</v>
      </c>
      <c r="F214" s="3">
        <v>13.41</v>
      </c>
      <c r="G214">
        <v>1359</v>
      </c>
      <c r="H214" s="3">
        <f t="shared" si="6"/>
        <v>18224.189999999999</v>
      </c>
      <c r="I214" s="3">
        <v>2733.63</v>
      </c>
      <c r="J214" s="3">
        <v>15490.56</v>
      </c>
      <c r="K214" t="s">
        <v>61</v>
      </c>
      <c r="L214" t="s">
        <v>19</v>
      </c>
      <c r="M214" t="s">
        <v>93</v>
      </c>
      <c r="N214" t="str">
        <f t="shared" si="7"/>
        <v>Jan</v>
      </c>
    </row>
    <row r="215" spans="1:14" x14ac:dyDescent="0.3">
      <c r="A215" t="s">
        <v>555</v>
      </c>
      <c r="B215" t="s">
        <v>182</v>
      </c>
      <c r="C215" t="s">
        <v>556</v>
      </c>
      <c r="D215" t="s">
        <v>35</v>
      </c>
      <c r="E215" t="s">
        <v>17</v>
      </c>
      <c r="F215" s="3">
        <v>6.44</v>
      </c>
      <c r="G215">
        <v>845</v>
      </c>
      <c r="H215" s="3">
        <f t="shared" si="6"/>
        <v>5441.8</v>
      </c>
      <c r="I215" s="3">
        <v>544.17999999999995</v>
      </c>
      <c r="J215" s="3">
        <v>4897.62</v>
      </c>
      <c r="K215" t="s">
        <v>18</v>
      </c>
      <c r="L215" t="s">
        <v>52</v>
      </c>
      <c r="M215" t="s">
        <v>93</v>
      </c>
      <c r="N215" t="str">
        <f t="shared" si="7"/>
        <v>Aug</v>
      </c>
    </row>
    <row r="216" spans="1:14" x14ac:dyDescent="0.3">
      <c r="A216" t="s">
        <v>557</v>
      </c>
      <c r="B216" t="s">
        <v>558</v>
      </c>
      <c r="C216" t="s">
        <v>559</v>
      </c>
      <c r="D216" t="s">
        <v>155</v>
      </c>
      <c r="E216" t="s">
        <v>51</v>
      </c>
      <c r="F216" s="3">
        <v>8.9700000000000006</v>
      </c>
      <c r="G216">
        <v>170</v>
      </c>
      <c r="H216" s="3">
        <f t="shared" si="6"/>
        <v>1524.9</v>
      </c>
      <c r="I216" s="3">
        <v>228.74</v>
      </c>
      <c r="J216" s="3">
        <v>1296.1600000000001</v>
      </c>
      <c r="K216" t="s">
        <v>25</v>
      </c>
      <c r="L216" t="s">
        <v>52</v>
      </c>
      <c r="M216" t="s">
        <v>20</v>
      </c>
      <c r="N216" t="str">
        <f t="shared" si="7"/>
        <v>Oct</v>
      </c>
    </row>
    <row r="217" spans="1:14" x14ac:dyDescent="0.3">
      <c r="A217" t="s">
        <v>560</v>
      </c>
      <c r="B217" t="s">
        <v>561</v>
      </c>
      <c r="C217" t="s">
        <v>314</v>
      </c>
      <c r="D217" t="s">
        <v>92</v>
      </c>
      <c r="E217" t="s">
        <v>24</v>
      </c>
      <c r="F217" s="3">
        <v>3.24</v>
      </c>
      <c r="G217">
        <v>218</v>
      </c>
      <c r="H217" s="3">
        <f t="shared" si="6"/>
        <v>706.32</v>
      </c>
      <c r="I217" s="3">
        <v>105.95</v>
      </c>
      <c r="J217" s="3">
        <v>600.37</v>
      </c>
      <c r="K217" t="s">
        <v>61</v>
      </c>
      <c r="L217" t="s">
        <v>79</v>
      </c>
      <c r="M217" t="s">
        <v>20</v>
      </c>
      <c r="N217" t="str">
        <f t="shared" si="7"/>
        <v>May</v>
      </c>
    </row>
    <row r="218" spans="1:14" x14ac:dyDescent="0.3">
      <c r="A218" t="s">
        <v>562</v>
      </c>
      <c r="B218" t="s">
        <v>563</v>
      </c>
      <c r="C218" t="s">
        <v>564</v>
      </c>
      <c r="D218" t="s">
        <v>71</v>
      </c>
      <c r="E218" t="s">
        <v>36</v>
      </c>
      <c r="F218" s="3">
        <v>9.6300000000000008</v>
      </c>
      <c r="G218">
        <v>842</v>
      </c>
      <c r="H218" s="3">
        <f t="shared" si="6"/>
        <v>8108.4600000000009</v>
      </c>
      <c r="I218" s="3">
        <v>0</v>
      </c>
      <c r="J218" s="3">
        <v>8108.46</v>
      </c>
      <c r="K218" t="s">
        <v>18</v>
      </c>
      <c r="L218" t="s">
        <v>19</v>
      </c>
      <c r="M218" t="s">
        <v>62</v>
      </c>
      <c r="N218" t="str">
        <f t="shared" si="7"/>
        <v>Jul</v>
      </c>
    </row>
    <row r="219" spans="1:14" x14ac:dyDescent="0.3">
      <c r="A219" t="s">
        <v>565</v>
      </c>
      <c r="B219" t="s">
        <v>566</v>
      </c>
      <c r="C219" t="s">
        <v>100</v>
      </c>
      <c r="D219" t="s">
        <v>135</v>
      </c>
      <c r="E219" t="s">
        <v>32</v>
      </c>
      <c r="F219" s="3">
        <v>3.51</v>
      </c>
      <c r="G219">
        <v>1849</v>
      </c>
      <c r="H219" s="3">
        <f t="shared" si="6"/>
        <v>6489.99</v>
      </c>
      <c r="I219" s="3">
        <v>324.5</v>
      </c>
      <c r="J219" s="3">
        <v>6165.49</v>
      </c>
      <c r="K219" t="s">
        <v>61</v>
      </c>
      <c r="L219" t="s">
        <v>79</v>
      </c>
      <c r="M219" t="s">
        <v>62</v>
      </c>
      <c r="N219" t="str">
        <f t="shared" si="7"/>
        <v>Jun</v>
      </c>
    </row>
    <row r="220" spans="1:14" x14ac:dyDescent="0.3">
      <c r="A220" t="s">
        <v>567</v>
      </c>
      <c r="B220" t="s">
        <v>568</v>
      </c>
      <c r="C220" t="s">
        <v>189</v>
      </c>
      <c r="D220" t="s">
        <v>46</v>
      </c>
      <c r="E220" t="s">
        <v>42</v>
      </c>
      <c r="F220" s="3">
        <v>6.04</v>
      </c>
      <c r="G220">
        <v>1716</v>
      </c>
      <c r="H220" s="3">
        <f t="shared" si="6"/>
        <v>10364.64</v>
      </c>
      <c r="I220" s="3">
        <v>1554.7</v>
      </c>
      <c r="J220" s="3">
        <v>8809.94</v>
      </c>
      <c r="K220" t="s">
        <v>25</v>
      </c>
      <c r="L220" t="s">
        <v>79</v>
      </c>
      <c r="M220" t="s">
        <v>37</v>
      </c>
      <c r="N220" t="str">
        <f t="shared" si="7"/>
        <v>Jul</v>
      </c>
    </row>
    <row r="221" spans="1:14" x14ac:dyDescent="0.3">
      <c r="A221" t="s">
        <v>569</v>
      </c>
      <c r="B221" t="s">
        <v>259</v>
      </c>
      <c r="C221" t="s">
        <v>148</v>
      </c>
      <c r="D221" t="s">
        <v>110</v>
      </c>
      <c r="E221" t="s">
        <v>17</v>
      </c>
      <c r="F221" s="3">
        <v>2.98</v>
      </c>
      <c r="G221">
        <v>873</v>
      </c>
      <c r="H221" s="3">
        <f t="shared" si="6"/>
        <v>2601.54</v>
      </c>
      <c r="I221" s="3">
        <v>260.14999999999998</v>
      </c>
      <c r="J221" s="3">
        <v>2341.39</v>
      </c>
      <c r="K221" t="s">
        <v>18</v>
      </c>
      <c r="L221" t="s">
        <v>52</v>
      </c>
      <c r="M221" t="s">
        <v>53</v>
      </c>
      <c r="N221" t="str">
        <f t="shared" si="7"/>
        <v>Jan</v>
      </c>
    </row>
    <row r="222" spans="1:14" x14ac:dyDescent="0.3">
      <c r="A222" t="s">
        <v>570</v>
      </c>
      <c r="B222" t="s">
        <v>201</v>
      </c>
      <c r="C222" t="s">
        <v>392</v>
      </c>
      <c r="D222" t="s">
        <v>107</v>
      </c>
      <c r="E222" t="s">
        <v>42</v>
      </c>
      <c r="F222" s="3">
        <v>4.57</v>
      </c>
      <c r="G222">
        <v>125</v>
      </c>
      <c r="H222" s="3">
        <f t="shared" si="6"/>
        <v>571.25</v>
      </c>
      <c r="I222" s="3">
        <v>85.69</v>
      </c>
      <c r="J222" s="3">
        <v>485.56</v>
      </c>
      <c r="K222" t="s">
        <v>67</v>
      </c>
      <c r="L222" t="s">
        <v>52</v>
      </c>
      <c r="M222" t="s">
        <v>62</v>
      </c>
      <c r="N222" t="str">
        <f t="shared" si="7"/>
        <v>Dec</v>
      </c>
    </row>
    <row r="223" spans="1:14" x14ac:dyDescent="0.3">
      <c r="A223" t="s">
        <v>571</v>
      </c>
      <c r="B223" t="s">
        <v>572</v>
      </c>
      <c r="C223" t="s">
        <v>573</v>
      </c>
      <c r="D223" t="s">
        <v>225</v>
      </c>
      <c r="E223" t="s">
        <v>42</v>
      </c>
      <c r="F223" s="3">
        <v>14.3</v>
      </c>
      <c r="G223">
        <v>245</v>
      </c>
      <c r="H223" s="3">
        <f t="shared" si="6"/>
        <v>3503.5</v>
      </c>
      <c r="I223" s="3">
        <v>175.18</v>
      </c>
      <c r="J223" s="3">
        <v>3328.32</v>
      </c>
      <c r="K223" t="s">
        <v>18</v>
      </c>
      <c r="L223" t="s">
        <v>52</v>
      </c>
      <c r="M223" t="s">
        <v>53</v>
      </c>
      <c r="N223" t="str">
        <f t="shared" si="7"/>
        <v>Dec</v>
      </c>
    </row>
    <row r="224" spans="1:14" x14ac:dyDescent="0.3">
      <c r="A224" t="s">
        <v>574</v>
      </c>
      <c r="B224" t="s">
        <v>575</v>
      </c>
      <c r="C224" t="s">
        <v>576</v>
      </c>
      <c r="D224" t="s">
        <v>78</v>
      </c>
      <c r="E224" t="s">
        <v>17</v>
      </c>
      <c r="F224" s="3">
        <v>4.25</v>
      </c>
      <c r="G224">
        <v>1047</v>
      </c>
      <c r="H224" s="3">
        <f t="shared" si="6"/>
        <v>4449.75</v>
      </c>
      <c r="I224" s="3">
        <v>667.46</v>
      </c>
      <c r="J224" s="3">
        <v>3782.29</v>
      </c>
      <c r="K224" t="s">
        <v>18</v>
      </c>
      <c r="L224" t="s">
        <v>26</v>
      </c>
      <c r="M224" t="s">
        <v>20</v>
      </c>
      <c r="N224" t="str">
        <f t="shared" si="7"/>
        <v>Aug</v>
      </c>
    </row>
    <row r="225" spans="1:14" x14ac:dyDescent="0.3">
      <c r="A225" t="s">
        <v>577</v>
      </c>
      <c r="B225" t="s">
        <v>578</v>
      </c>
      <c r="C225" t="s">
        <v>559</v>
      </c>
      <c r="D225" t="s">
        <v>110</v>
      </c>
      <c r="E225" t="s">
        <v>17</v>
      </c>
      <c r="F225" s="3">
        <v>7.96</v>
      </c>
      <c r="G225">
        <v>791</v>
      </c>
      <c r="H225" s="3">
        <f t="shared" si="6"/>
        <v>6296.36</v>
      </c>
      <c r="I225" s="3">
        <v>629.64</v>
      </c>
      <c r="J225" s="3">
        <v>5666.72</v>
      </c>
      <c r="K225" t="s">
        <v>67</v>
      </c>
      <c r="L225" t="s">
        <v>52</v>
      </c>
      <c r="M225" t="s">
        <v>20</v>
      </c>
      <c r="N225" t="str">
        <f t="shared" si="7"/>
        <v>Apr</v>
      </c>
    </row>
    <row r="226" spans="1:14" x14ac:dyDescent="0.3">
      <c r="A226" t="s">
        <v>579</v>
      </c>
      <c r="B226" t="s">
        <v>580</v>
      </c>
      <c r="C226" t="s">
        <v>291</v>
      </c>
      <c r="D226" t="s">
        <v>41</v>
      </c>
      <c r="E226" t="s">
        <v>17</v>
      </c>
      <c r="F226" s="3">
        <v>11.92</v>
      </c>
      <c r="G226">
        <v>1496</v>
      </c>
      <c r="H226" s="3">
        <f t="shared" si="6"/>
        <v>17832.32</v>
      </c>
      <c r="I226" s="3">
        <v>1783.23</v>
      </c>
      <c r="J226" s="3">
        <v>16049.09</v>
      </c>
      <c r="K226" t="s">
        <v>25</v>
      </c>
      <c r="L226" t="s">
        <v>52</v>
      </c>
      <c r="M226" t="s">
        <v>62</v>
      </c>
      <c r="N226" t="str">
        <f t="shared" si="7"/>
        <v>Jun</v>
      </c>
    </row>
    <row r="227" spans="1:14" x14ac:dyDescent="0.3">
      <c r="A227" t="s">
        <v>581</v>
      </c>
      <c r="B227" t="s">
        <v>460</v>
      </c>
      <c r="C227" t="s">
        <v>582</v>
      </c>
      <c r="D227" t="s">
        <v>31</v>
      </c>
      <c r="E227" t="s">
        <v>51</v>
      </c>
      <c r="F227" s="3">
        <v>4.54</v>
      </c>
      <c r="G227">
        <v>629</v>
      </c>
      <c r="H227" s="3">
        <f t="shared" si="6"/>
        <v>2855.66</v>
      </c>
      <c r="I227" s="3">
        <v>285.57</v>
      </c>
      <c r="J227" s="3">
        <v>2570.09</v>
      </c>
      <c r="K227" t="s">
        <v>67</v>
      </c>
      <c r="L227" t="s">
        <v>52</v>
      </c>
      <c r="M227" t="s">
        <v>53</v>
      </c>
      <c r="N227" t="str">
        <f t="shared" si="7"/>
        <v>May</v>
      </c>
    </row>
    <row r="228" spans="1:14" x14ac:dyDescent="0.3">
      <c r="A228" t="s">
        <v>583</v>
      </c>
      <c r="B228" t="s">
        <v>274</v>
      </c>
      <c r="C228" t="s">
        <v>174</v>
      </c>
      <c r="D228" t="s">
        <v>31</v>
      </c>
      <c r="E228" t="s">
        <v>17</v>
      </c>
      <c r="F228" s="3">
        <v>5.19</v>
      </c>
      <c r="G228">
        <v>269</v>
      </c>
      <c r="H228" s="3">
        <f t="shared" si="6"/>
        <v>1396.1100000000001</v>
      </c>
      <c r="I228" s="3">
        <v>209.42</v>
      </c>
      <c r="J228" s="3">
        <v>1186.69</v>
      </c>
      <c r="K228" t="s">
        <v>119</v>
      </c>
      <c r="L228" t="s">
        <v>79</v>
      </c>
      <c r="M228" t="s">
        <v>62</v>
      </c>
      <c r="N228" t="str">
        <f t="shared" si="7"/>
        <v>Sep</v>
      </c>
    </row>
    <row r="229" spans="1:14" x14ac:dyDescent="0.3">
      <c r="A229" t="s">
        <v>584</v>
      </c>
      <c r="B229" t="s">
        <v>585</v>
      </c>
      <c r="C229" t="s">
        <v>362</v>
      </c>
      <c r="D229" t="s">
        <v>46</v>
      </c>
      <c r="E229" t="s">
        <v>17</v>
      </c>
      <c r="F229" s="3">
        <v>2.57</v>
      </c>
      <c r="G229">
        <v>1912</v>
      </c>
      <c r="H229" s="3">
        <f t="shared" si="6"/>
        <v>4913.84</v>
      </c>
      <c r="I229" s="3">
        <v>737.08</v>
      </c>
      <c r="J229" s="3">
        <v>4176.76</v>
      </c>
      <c r="K229" t="s">
        <v>61</v>
      </c>
      <c r="L229" t="s">
        <v>52</v>
      </c>
      <c r="M229" t="s">
        <v>62</v>
      </c>
      <c r="N229" t="str">
        <f t="shared" si="7"/>
        <v>May</v>
      </c>
    </row>
    <row r="230" spans="1:14" x14ac:dyDescent="0.3">
      <c r="A230" t="s">
        <v>586</v>
      </c>
      <c r="B230" t="s">
        <v>587</v>
      </c>
      <c r="C230" t="s">
        <v>496</v>
      </c>
      <c r="D230" t="s">
        <v>35</v>
      </c>
      <c r="E230" t="s">
        <v>42</v>
      </c>
      <c r="F230" s="3">
        <v>10.9</v>
      </c>
      <c r="G230">
        <v>301</v>
      </c>
      <c r="H230" s="3">
        <f t="shared" si="6"/>
        <v>3280.9</v>
      </c>
      <c r="I230" s="3">
        <v>0</v>
      </c>
      <c r="J230" s="3">
        <v>3280.9</v>
      </c>
      <c r="K230" t="s">
        <v>25</v>
      </c>
      <c r="L230" t="s">
        <v>26</v>
      </c>
      <c r="M230" t="s">
        <v>62</v>
      </c>
      <c r="N230" t="str">
        <f t="shared" si="7"/>
        <v>Apr</v>
      </c>
    </row>
    <row r="231" spans="1:14" x14ac:dyDescent="0.3">
      <c r="A231" t="s">
        <v>588</v>
      </c>
      <c r="B231" t="s">
        <v>553</v>
      </c>
      <c r="C231" t="s">
        <v>589</v>
      </c>
      <c r="D231" t="s">
        <v>135</v>
      </c>
      <c r="E231" t="s">
        <v>36</v>
      </c>
      <c r="F231" s="3">
        <v>10.11</v>
      </c>
      <c r="G231">
        <v>127</v>
      </c>
      <c r="H231" s="3">
        <f t="shared" si="6"/>
        <v>1283.97</v>
      </c>
      <c r="I231" s="3">
        <v>0</v>
      </c>
      <c r="J231" s="3">
        <v>1283.97</v>
      </c>
      <c r="K231" t="s">
        <v>119</v>
      </c>
      <c r="L231" t="s">
        <v>79</v>
      </c>
      <c r="M231" t="s">
        <v>27</v>
      </c>
      <c r="N231" t="str">
        <f t="shared" si="7"/>
        <v>Jan</v>
      </c>
    </row>
    <row r="232" spans="1:14" x14ac:dyDescent="0.3">
      <c r="A232" t="s">
        <v>590</v>
      </c>
      <c r="B232" t="s">
        <v>591</v>
      </c>
      <c r="C232" t="s">
        <v>592</v>
      </c>
      <c r="D232" t="s">
        <v>71</v>
      </c>
      <c r="E232" t="s">
        <v>24</v>
      </c>
      <c r="F232" s="3">
        <v>14.52</v>
      </c>
      <c r="G232">
        <v>1922</v>
      </c>
      <c r="H232" s="3">
        <f t="shared" si="6"/>
        <v>27907.439999999999</v>
      </c>
      <c r="I232" s="3">
        <v>1395.37</v>
      </c>
      <c r="J232" s="3">
        <v>26512.07</v>
      </c>
      <c r="K232" t="s">
        <v>119</v>
      </c>
      <c r="L232" t="s">
        <v>52</v>
      </c>
      <c r="M232" t="s">
        <v>37</v>
      </c>
      <c r="N232" t="str">
        <f t="shared" si="7"/>
        <v>Aug</v>
      </c>
    </row>
    <row r="233" spans="1:14" x14ac:dyDescent="0.3">
      <c r="A233" t="s">
        <v>593</v>
      </c>
      <c r="B233" t="s">
        <v>594</v>
      </c>
      <c r="C233" t="s">
        <v>595</v>
      </c>
      <c r="D233" t="s">
        <v>46</v>
      </c>
      <c r="E233" t="s">
        <v>51</v>
      </c>
      <c r="F233" s="3">
        <v>5.35</v>
      </c>
      <c r="G233">
        <v>141</v>
      </c>
      <c r="H233" s="3">
        <f t="shared" si="6"/>
        <v>754.34999999999991</v>
      </c>
      <c r="I233" s="3">
        <v>0</v>
      </c>
      <c r="J233" s="3">
        <v>754.35</v>
      </c>
      <c r="K233" t="s">
        <v>25</v>
      </c>
      <c r="L233" t="s">
        <v>26</v>
      </c>
      <c r="M233" t="s">
        <v>20</v>
      </c>
      <c r="N233" t="str">
        <f t="shared" si="7"/>
        <v>Nov</v>
      </c>
    </row>
    <row r="234" spans="1:14" x14ac:dyDescent="0.3">
      <c r="A234" t="s">
        <v>596</v>
      </c>
      <c r="B234" t="s">
        <v>597</v>
      </c>
      <c r="C234" t="s">
        <v>364</v>
      </c>
      <c r="D234" t="s">
        <v>78</v>
      </c>
      <c r="E234" t="s">
        <v>36</v>
      </c>
      <c r="F234" s="3">
        <v>14.11</v>
      </c>
      <c r="G234">
        <v>94</v>
      </c>
      <c r="H234" s="3">
        <f t="shared" si="6"/>
        <v>1326.34</v>
      </c>
      <c r="I234" s="3">
        <v>198.95</v>
      </c>
      <c r="J234" s="3">
        <v>1127.3900000000001</v>
      </c>
      <c r="K234" t="s">
        <v>119</v>
      </c>
      <c r="L234" t="s">
        <v>26</v>
      </c>
      <c r="M234" t="s">
        <v>27</v>
      </c>
      <c r="N234" t="str">
        <f t="shared" si="7"/>
        <v>Jan</v>
      </c>
    </row>
    <row r="235" spans="1:14" x14ac:dyDescent="0.3">
      <c r="A235" t="s">
        <v>598</v>
      </c>
      <c r="B235" t="s">
        <v>585</v>
      </c>
      <c r="C235" t="s">
        <v>599</v>
      </c>
      <c r="D235" t="s">
        <v>16</v>
      </c>
      <c r="E235" t="s">
        <v>51</v>
      </c>
      <c r="F235" s="3">
        <v>9.17</v>
      </c>
      <c r="G235">
        <v>239</v>
      </c>
      <c r="H235" s="3">
        <f t="shared" si="6"/>
        <v>2191.63</v>
      </c>
      <c r="I235" s="3">
        <v>219.16</v>
      </c>
      <c r="J235" s="3">
        <v>1972.47</v>
      </c>
      <c r="K235" t="s">
        <v>61</v>
      </c>
      <c r="L235" t="s">
        <v>52</v>
      </c>
      <c r="M235" t="s">
        <v>27</v>
      </c>
      <c r="N235" t="str">
        <f t="shared" si="7"/>
        <v>May</v>
      </c>
    </row>
    <row r="236" spans="1:14" x14ac:dyDescent="0.3">
      <c r="A236" t="s">
        <v>600</v>
      </c>
      <c r="B236" t="s">
        <v>601</v>
      </c>
      <c r="C236" t="s">
        <v>602</v>
      </c>
      <c r="D236" t="s">
        <v>114</v>
      </c>
      <c r="E236" t="s">
        <v>36</v>
      </c>
      <c r="F236" s="3">
        <v>12.99</v>
      </c>
      <c r="G236">
        <v>978</v>
      </c>
      <c r="H236" s="3">
        <f t="shared" si="6"/>
        <v>12704.22</v>
      </c>
      <c r="I236" s="3">
        <v>1270.42</v>
      </c>
      <c r="J236" s="3">
        <v>11433.8</v>
      </c>
      <c r="K236" t="s">
        <v>67</v>
      </c>
      <c r="L236" t="s">
        <v>19</v>
      </c>
      <c r="M236" t="s">
        <v>53</v>
      </c>
      <c r="N236" t="str">
        <f t="shared" si="7"/>
        <v>Oct</v>
      </c>
    </row>
    <row r="237" spans="1:14" x14ac:dyDescent="0.3">
      <c r="A237" t="s">
        <v>603</v>
      </c>
      <c r="B237" t="s">
        <v>166</v>
      </c>
      <c r="C237" t="s">
        <v>249</v>
      </c>
      <c r="D237" t="s">
        <v>60</v>
      </c>
      <c r="E237" t="s">
        <v>17</v>
      </c>
      <c r="F237" s="3">
        <v>4.97</v>
      </c>
      <c r="G237">
        <v>401</v>
      </c>
      <c r="H237" s="3">
        <f t="shared" si="6"/>
        <v>1992.9699999999998</v>
      </c>
      <c r="I237" s="3">
        <v>0</v>
      </c>
      <c r="J237" s="3">
        <v>1992.97</v>
      </c>
      <c r="K237" t="s">
        <v>61</v>
      </c>
      <c r="L237" t="s">
        <v>79</v>
      </c>
      <c r="M237" t="s">
        <v>20</v>
      </c>
      <c r="N237" t="str">
        <f t="shared" si="7"/>
        <v>Mar</v>
      </c>
    </row>
    <row r="238" spans="1:14" x14ac:dyDescent="0.3">
      <c r="A238" t="s">
        <v>604</v>
      </c>
      <c r="B238" t="s">
        <v>605</v>
      </c>
      <c r="C238" t="s">
        <v>564</v>
      </c>
      <c r="D238" t="s">
        <v>155</v>
      </c>
      <c r="E238" t="s">
        <v>36</v>
      </c>
      <c r="F238" s="3">
        <v>9.75</v>
      </c>
      <c r="G238">
        <v>1328</v>
      </c>
      <c r="H238" s="3">
        <f t="shared" si="6"/>
        <v>12948</v>
      </c>
      <c r="I238" s="3">
        <v>1942.2</v>
      </c>
      <c r="J238" s="3">
        <v>11005.8</v>
      </c>
      <c r="K238" t="s">
        <v>119</v>
      </c>
      <c r="L238" t="s">
        <v>79</v>
      </c>
      <c r="M238" t="s">
        <v>93</v>
      </c>
      <c r="N238" t="str">
        <f t="shared" si="7"/>
        <v>Dec</v>
      </c>
    </row>
    <row r="239" spans="1:14" x14ac:dyDescent="0.3">
      <c r="A239" t="s">
        <v>606</v>
      </c>
      <c r="B239" t="s">
        <v>607</v>
      </c>
      <c r="C239" t="s">
        <v>589</v>
      </c>
      <c r="D239" t="s">
        <v>82</v>
      </c>
      <c r="E239" t="s">
        <v>36</v>
      </c>
      <c r="F239" s="3">
        <v>14.75</v>
      </c>
      <c r="G239">
        <v>997</v>
      </c>
      <c r="H239" s="3">
        <f t="shared" si="6"/>
        <v>14705.75</v>
      </c>
      <c r="I239" s="3">
        <v>1470.58</v>
      </c>
      <c r="J239" s="3">
        <v>13235.17</v>
      </c>
      <c r="K239" t="s">
        <v>67</v>
      </c>
      <c r="L239" t="s">
        <v>19</v>
      </c>
      <c r="M239" t="s">
        <v>53</v>
      </c>
      <c r="N239" t="str">
        <f t="shared" si="7"/>
        <v>Jul</v>
      </c>
    </row>
    <row r="240" spans="1:14" x14ac:dyDescent="0.3">
      <c r="A240" t="s">
        <v>608</v>
      </c>
      <c r="B240" t="s">
        <v>354</v>
      </c>
      <c r="C240" t="s">
        <v>493</v>
      </c>
      <c r="D240" t="s">
        <v>60</v>
      </c>
      <c r="E240" t="s">
        <v>51</v>
      </c>
      <c r="F240" s="3">
        <v>14.38</v>
      </c>
      <c r="G240">
        <v>638</v>
      </c>
      <c r="H240" s="3">
        <f t="shared" si="6"/>
        <v>9174.44</v>
      </c>
      <c r="I240" s="3">
        <v>0</v>
      </c>
      <c r="J240" s="3">
        <v>9174.44</v>
      </c>
      <c r="K240" t="s">
        <v>61</v>
      </c>
      <c r="L240" t="s">
        <v>79</v>
      </c>
      <c r="M240" t="s">
        <v>27</v>
      </c>
      <c r="N240" t="str">
        <f t="shared" si="7"/>
        <v>Jul</v>
      </c>
    </row>
    <row r="241" spans="1:14" x14ac:dyDescent="0.3">
      <c r="A241" t="s">
        <v>609</v>
      </c>
      <c r="B241" t="s">
        <v>610</v>
      </c>
      <c r="C241" t="s">
        <v>458</v>
      </c>
      <c r="D241" t="s">
        <v>82</v>
      </c>
      <c r="E241" t="s">
        <v>32</v>
      </c>
      <c r="F241" s="3">
        <v>5.64</v>
      </c>
      <c r="G241">
        <v>850</v>
      </c>
      <c r="H241" s="3">
        <f t="shared" si="6"/>
        <v>4794</v>
      </c>
      <c r="I241" s="3">
        <v>479.4</v>
      </c>
      <c r="J241" s="3">
        <v>4314.6000000000004</v>
      </c>
      <c r="K241" t="s">
        <v>18</v>
      </c>
      <c r="L241" t="s">
        <v>79</v>
      </c>
      <c r="M241" t="s">
        <v>53</v>
      </c>
      <c r="N241" t="str">
        <f t="shared" si="7"/>
        <v>May</v>
      </c>
    </row>
    <row r="242" spans="1:14" x14ac:dyDescent="0.3">
      <c r="A242" t="s">
        <v>611</v>
      </c>
      <c r="B242" t="s">
        <v>498</v>
      </c>
      <c r="C242" t="s">
        <v>612</v>
      </c>
      <c r="D242" t="s">
        <v>50</v>
      </c>
      <c r="E242" t="s">
        <v>36</v>
      </c>
      <c r="F242" s="3">
        <v>7.96</v>
      </c>
      <c r="G242">
        <v>951</v>
      </c>
      <c r="H242" s="3">
        <f t="shared" si="6"/>
        <v>7569.96</v>
      </c>
      <c r="I242" s="3">
        <v>757</v>
      </c>
      <c r="J242" s="3">
        <v>6812.96</v>
      </c>
      <c r="K242" t="s">
        <v>119</v>
      </c>
      <c r="L242" t="s">
        <v>52</v>
      </c>
      <c r="M242" t="s">
        <v>20</v>
      </c>
      <c r="N242" t="str">
        <f t="shared" si="7"/>
        <v>Nov</v>
      </c>
    </row>
    <row r="243" spans="1:14" x14ac:dyDescent="0.3">
      <c r="A243" t="s">
        <v>613</v>
      </c>
      <c r="B243" t="s">
        <v>413</v>
      </c>
      <c r="C243" t="s">
        <v>428</v>
      </c>
      <c r="D243" t="s">
        <v>50</v>
      </c>
      <c r="E243" t="s">
        <v>17</v>
      </c>
      <c r="F243" s="3">
        <v>11.69</v>
      </c>
      <c r="G243">
        <v>1808</v>
      </c>
      <c r="H243" s="3">
        <f t="shared" si="6"/>
        <v>21135.52</v>
      </c>
      <c r="I243" s="3">
        <v>0</v>
      </c>
      <c r="J243" s="3">
        <v>21135.52</v>
      </c>
      <c r="K243" t="s">
        <v>25</v>
      </c>
      <c r="L243" t="s">
        <v>52</v>
      </c>
      <c r="M243" t="s">
        <v>20</v>
      </c>
      <c r="N243" t="str">
        <f t="shared" si="7"/>
        <v>Dec</v>
      </c>
    </row>
    <row r="244" spans="1:14" x14ac:dyDescent="0.3">
      <c r="A244" t="s">
        <v>614</v>
      </c>
      <c r="B244" t="s">
        <v>615</v>
      </c>
      <c r="C244" t="s">
        <v>74</v>
      </c>
      <c r="D244" t="s">
        <v>97</v>
      </c>
      <c r="E244" t="s">
        <v>42</v>
      </c>
      <c r="F244" s="3">
        <v>3.01</v>
      </c>
      <c r="G244">
        <v>1717</v>
      </c>
      <c r="H244" s="3">
        <f t="shared" si="6"/>
        <v>5168.17</v>
      </c>
      <c r="I244" s="3">
        <v>258.41000000000003</v>
      </c>
      <c r="J244" s="3">
        <v>4909.76</v>
      </c>
      <c r="K244" t="s">
        <v>25</v>
      </c>
      <c r="L244" t="s">
        <v>26</v>
      </c>
      <c r="M244" t="s">
        <v>62</v>
      </c>
      <c r="N244" t="str">
        <f t="shared" si="7"/>
        <v>Dec</v>
      </c>
    </row>
    <row r="245" spans="1:14" x14ac:dyDescent="0.3">
      <c r="A245" t="s">
        <v>616</v>
      </c>
      <c r="B245" t="s">
        <v>617</v>
      </c>
      <c r="C245" t="s">
        <v>618</v>
      </c>
      <c r="D245" t="s">
        <v>60</v>
      </c>
      <c r="E245" t="s">
        <v>24</v>
      </c>
      <c r="F245" s="3">
        <v>10.68</v>
      </c>
      <c r="G245">
        <v>1488</v>
      </c>
      <c r="H245" s="3">
        <f t="shared" si="6"/>
        <v>15891.84</v>
      </c>
      <c r="I245" s="3">
        <v>2383.7800000000002</v>
      </c>
      <c r="J245" s="3">
        <v>13508.06</v>
      </c>
      <c r="K245" t="s">
        <v>18</v>
      </c>
      <c r="L245" t="s">
        <v>52</v>
      </c>
      <c r="M245" t="s">
        <v>93</v>
      </c>
      <c r="N245" t="str">
        <f t="shared" si="7"/>
        <v>Jun</v>
      </c>
    </row>
    <row r="246" spans="1:14" x14ac:dyDescent="0.3">
      <c r="A246" t="s">
        <v>619</v>
      </c>
      <c r="B246" t="s">
        <v>55</v>
      </c>
      <c r="C246" t="s">
        <v>620</v>
      </c>
      <c r="D246" t="s">
        <v>135</v>
      </c>
      <c r="E246" t="s">
        <v>32</v>
      </c>
      <c r="F246" s="3">
        <v>7.67</v>
      </c>
      <c r="G246">
        <v>138</v>
      </c>
      <c r="H246" s="3">
        <f t="shared" si="6"/>
        <v>1058.46</v>
      </c>
      <c r="I246" s="3">
        <v>158.77000000000001</v>
      </c>
      <c r="J246" s="3">
        <v>899.69</v>
      </c>
      <c r="K246" t="s">
        <v>61</v>
      </c>
      <c r="L246" t="s">
        <v>19</v>
      </c>
      <c r="M246" t="s">
        <v>37</v>
      </c>
      <c r="N246" t="str">
        <f t="shared" si="7"/>
        <v>Aug</v>
      </c>
    </row>
    <row r="247" spans="1:14" x14ac:dyDescent="0.3">
      <c r="A247" t="s">
        <v>621</v>
      </c>
      <c r="B247" t="s">
        <v>409</v>
      </c>
      <c r="C247" t="s">
        <v>91</v>
      </c>
      <c r="D247" t="s">
        <v>155</v>
      </c>
      <c r="E247" t="s">
        <v>42</v>
      </c>
      <c r="F247" s="3">
        <v>2.4900000000000002</v>
      </c>
      <c r="G247">
        <v>887</v>
      </c>
      <c r="H247" s="3">
        <f t="shared" si="6"/>
        <v>2208.63</v>
      </c>
      <c r="I247" s="3">
        <v>220.86</v>
      </c>
      <c r="J247" s="3">
        <v>1987.77</v>
      </c>
      <c r="K247" t="s">
        <v>18</v>
      </c>
      <c r="L247" t="s">
        <v>19</v>
      </c>
      <c r="M247" t="s">
        <v>93</v>
      </c>
      <c r="N247" t="str">
        <f t="shared" si="7"/>
        <v>May</v>
      </c>
    </row>
    <row r="248" spans="1:14" x14ac:dyDescent="0.3">
      <c r="A248" t="s">
        <v>622</v>
      </c>
      <c r="B248" t="s">
        <v>591</v>
      </c>
      <c r="C248" t="s">
        <v>23</v>
      </c>
      <c r="D248" t="s">
        <v>46</v>
      </c>
      <c r="E248" t="s">
        <v>32</v>
      </c>
      <c r="F248" s="3">
        <v>3.93</v>
      </c>
      <c r="G248">
        <v>297</v>
      </c>
      <c r="H248" s="3">
        <f t="shared" si="6"/>
        <v>1167.21</v>
      </c>
      <c r="I248" s="3">
        <v>175.08</v>
      </c>
      <c r="J248" s="3">
        <v>992.13</v>
      </c>
      <c r="K248" t="s">
        <v>61</v>
      </c>
      <c r="L248" t="s">
        <v>52</v>
      </c>
      <c r="M248" t="s">
        <v>37</v>
      </c>
      <c r="N248" t="str">
        <f t="shared" si="7"/>
        <v>Aug</v>
      </c>
    </row>
    <row r="249" spans="1:14" x14ac:dyDescent="0.3">
      <c r="A249" t="s">
        <v>623</v>
      </c>
      <c r="B249" t="s">
        <v>624</v>
      </c>
      <c r="C249" t="s">
        <v>469</v>
      </c>
      <c r="D249" t="s">
        <v>97</v>
      </c>
      <c r="E249" t="s">
        <v>17</v>
      </c>
      <c r="F249" s="3">
        <v>14.52</v>
      </c>
      <c r="G249">
        <v>1811</v>
      </c>
      <c r="H249" s="3">
        <f t="shared" si="6"/>
        <v>26295.719999999998</v>
      </c>
      <c r="I249" s="3">
        <v>1314.79</v>
      </c>
      <c r="J249" s="3">
        <v>24980.93</v>
      </c>
      <c r="K249" t="s">
        <v>61</v>
      </c>
      <c r="L249" t="s">
        <v>19</v>
      </c>
      <c r="M249" t="s">
        <v>62</v>
      </c>
      <c r="N249" t="str">
        <f t="shared" si="7"/>
        <v>Jul</v>
      </c>
    </row>
    <row r="250" spans="1:14" x14ac:dyDescent="0.3">
      <c r="A250" t="s">
        <v>625</v>
      </c>
      <c r="B250" t="s">
        <v>626</v>
      </c>
      <c r="C250" t="s">
        <v>627</v>
      </c>
      <c r="D250" t="s">
        <v>135</v>
      </c>
      <c r="E250" t="s">
        <v>36</v>
      </c>
      <c r="F250" s="3">
        <v>11.33</v>
      </c>
      <c r="G250">
        <v>476</v>
      </c>
      <c r="H250" s="3">
        <f t="shared" si="6"/>
        <v>5393.08</v>
      </c>
      <c r="I250" s="3">
        <v>0</v>
      </c>
      <c r="J250" s="3">
        <v>5393.08</v>
      </c>
      <c r="K250" t="s">
        <v>18</v>
      </c>
      <c r="L250" t="s">
        <v>79</v>
      </c>
      <c r="M250" t="s">
        <v>37</v>
      </c>
      <c r="N250" t="str">
        <f t="shared" si="7"/>
        <v>Oct</v>
      </c>
    </row>
    <row r="251" spans="1:14" x14ac:dyDescent="0.3">
      <c r="A251" t="s">
        <v>628</v>
      </c>
      <c r="B251" t="s">
        <v>629</v>
      </c>
      <c r="C251" t="s">
        <v>549</v>
      </c>
      <c r="D251" t="s">
        <v>31</v>
      </c>
      <c r="E251" t="s">
        <v>32</v>
      </c>
      <c r="F251" s="3">
        <v>8.68</v>
      </c>
      <c r="G251">
        <v>1706</v>
      </c>
      <c r="H251" s="3">
        <f t="shared" si="6"/>
        <v>14808.08</v>
      </c>
      <c r="I251" s="3">
        <v>740.4</v>
      </c>
      <c r="J251" s="3">
        <v>14067.68</v>
      </c>
      <c r="K251" t="s">
        <v>67</v>
      </c>
      <c r="L251" t="s">
        <v>52</v>
      </c>
      <c r="M251" t="s">
        <v>53</v>
      </c>
      <c r="N251" t="str">
        <f t="shared" si="7"/>
        <v>Dec</v>
      </c>
    </row>
    <row r="252" spans="1:14" x14ac:dyDescent="0.3">
      <c r="A252" t="s">
        <v>630</v>
      </c>
      <c r="B252" t="s">
        <v>472</v>
      </c>
      <c r="C252" t="s">
        <v>209</v>
      </c>
      <c r="D252" t="s">
        <v>155</v>
      </c>
      <c r="E252" t="s">
        <v>17</v>
      </c>
      <c r="F252" s="3">
        <v>11.83</v>
      </c>
      <c r="G252">
        <v>85</v>
      </c>
      <c r="H252" s="3">
        <f t="shared" si="6"/>
        <v>1005.55</v>
      </c>
      <c r="I252" s="3">
        <v>150.83000000000001</v>
      </c>
      <c r="J252" s="3">
        <v>854.72</v>
      </c>
      <c r="K252" t="s">
        <v>25</v>
      </c>
      <c r="L252" t="s">
        <v>19</v>
      </c>
      <c r="M252" t="s">
        <v>62</v>
      </c>
      <c r="N252" t="str">
        <f t="shared" si="7"/>
        <v>Mar</v>
      </c>
    </row>
    <row r="253" spans="1:14" x14ac:dyDescent="0.3">
      <c r="A253" t="s">
        <v>631</v>
      </c>
      <c r="B253" t="s">
        <v>632</v>
      </c>
      <c r="C253" t="s">
        <v>183</v>
      </c>
      <c r="D253" t="s">
        <v>82</v>
      </c>
      <c r="E253" t="s">
        <v>42</v>
      </c>
      <c r="F253" s="3">
        <v>1.95</v>
      </c>
      <c r="G253">
        <v>1244</v>
      </c>
      <c r="H253" s="3">
        <f t="shared" si="6"/>
        <v>2425.7999999999997</v>
      </c>
      <c r="I253" s="3">
        <v>0</v>
      </c>
      <c r="J253" s="3">
        <v>2425.8000000000002</v>
      </c>
      <c r="K253" t="s">
        <v>67</v>
      </c>
      <c r="L253" t="s">
        <v>19</v>
      </c>
      <c r="M253" t="s">
        <v>37</v>
      </c>
      <c r="N253" t="str">
        <f t="shared" si="7"/>
        <v>Apr</v>
      </c>
    </row>
    <row r="254" spans="1:14" x14ac:dyDescent="0.3">
      <c r="A254" t="s">
        <v>633</v>
      </c>
      <c r="B254" t="s">
        <v>316</v>
      </c>
      <c r="C254" t="s">
        <v>634</v>
      </c>
      <c r="D254" t="s">
        <v>31</v>
      </c>
      <c r="E254" t="s">
        <v>36</v>
      </c>
      <c r="F254" s="3">
        <v>11.68</v>
      </c>
      <c r="G254">
        <v>1609</v>
      </c>
      <c r="H254" s="3">
        <f t="shared" si="6"/>
        <v>18793.12</v>
      </c>
      <c r="I254" s="3">
        <v>0</v>
      </c>
      <c r="J254" s="3">
        <v>18793.12</v>
      </c>
      <c r="K254" t="s">
        <v>67</v>
      </c>
      <c r="L254" t="s">
        <v>79</v>
      </c>
      <c r="M254" t="s">
        <v>62</v>
      </c>
      <c r="N254" t="str">
        <f t="shared" si="7"/>
        <v>Aug</v>
      </c>
    </row>
    <row r="255" spans="1:14" x14ac:dyDescent="0.3">
      <c r="A255" t="s">
        <v>635</v>
      </c>
      <c r="B255" t="s">
        <v>636</v>
      </c>
      <c r="C255" t="s">
        <v>637</v>
      </c>
      <c r="D255" t="s">
        <v>107</v>
      </c>
      <c r="E255" t="s">
        <v>42</v>
      </c>
      <c r="F255" s="3">
        <v>11.93</v>
      </c>
      <c r="G255">
        <v>1696</v>
      </c>
      <c r="H255" s="3">
        <f t="shared" si="6"/>
        <v>20233.28</v>
      </c>
      <c r="I255" s="3">
        <v>2023.33</v>
      </c>
      <c r="J255" s="3">
        <v>18209.95</v>
      </c>
      <c r="K255" t="s">
        <v>67</v>
      </c>
      <c r="L255" t="s">
        <v>79</v>
      </c>
      <c r="M255" t="s">
        <v>62</v>
      </c>
      <c r="N255" t="str">
        <f t="shared" si="7"/>
        <v>Oct</v>
      </c>
    </row>
    <row r="256" spans="1:14" x14ac:dyDescent="0.3">
      <c r="A256" t="s">
        <v>638</v>
      </c>
      <c r="B256" t="s">
        <v>639</v>
      </c>
      <c r="C256" t="s">
        <v>618</v>
      </c>
      <c r="D256" t="s">
        <v>50</v>
      </c>
      <c r="E256" t="s">
        <v>32</v>
      </c>
      <c r="F256" s="3">
        <v>5.56</v>
      </c>
      <c r="G256">
        <v>144</v>
      </c>
      <c r="H256" s="3">
        <f t="shared" si="6"/>
        <v>800.64</v>
      </c>
      <c r="I256" s="3">
        <v>40.03</v>
      </c>
      <c r="J256" s="3">
        <v>760.61</v>
      </c>
      <c r="K256" t="s">
        <v>119</v>
      </c>
      <c r="L256" t="s">
        <v>52</v>
      </c>
      <c r="M256" t="s">
        <v>93</v>
      </c>
      <c r="N256" t="str">
        <f t="shared" si="7"/>
        <v>Dec</v>
      </c>
    </row>
    <row r="257" spans="1:14" x14ac:dyDescent="0.3">
      <c r="A257" t="s">
        <v>640</v>
      </c>
      <c r="B257" t="s">
        <v>641</v>
      </c>
      <c r="C257" t="s">
        <v>642</v>
      </c>
      <c r="D257" t="s">
        <v>66</v>
      </c>
      <c r="E257" t="s">
        <v>42</v>
      </c>
      <c r="F257" s="3">
        <v>5.8</v>
      </c>
      <c r="G257">
        <v>872</v>
      </c>
      <c r="H257" s="3">
        <f t="shared" si="6"/>
        <v>5057.5999999999995</v>
      </c>
      <c r="I257" s="3">
        <v>758.64</v>
      </c>
      <c r="J257" s="3">
        <v>4298.96</v>
      </c>
      <c r="K257" t="s">
        <v>67</v>
      </c>
      <c r="L257" t="s">
        <v>79</v>
      </c>
      <c r="M257" t="s">
        <v>37</v>
      </c>
      <c r="N257" t="str">
        <f t="shared" si="7"/>
        <v>Jun</v>
      </c>
    </row>
    <row r="258" spans="1:14" x14ac:dyDescent="0.3">
      <c r="A258" t="s">
        <v>643</v>
      </c>
      <c r="B258" t="s">
        <v>644</v>
      </c>
      <c r="C258" t="s">
        <v>564</v>
      </c>
      <c r="D258" t="s">
        <v>31</v>
      </c>
      <c r="E258" t="s">
        <v>32</v>
      </c>
      <c r="F258" s="3">
        <v>4.75</v>
      </c>
      <c r="G258">
        <v>481</v>
      </c>
      <c r="H258" s="3">
        <f t="shared" si="6"/>
        <v>2284.75</v>
      </c>
      <c r="I258" s="3">
        <v>228.48</v>
      </c>
      <c r="J258" s="3">
        <v>2056.27</v>
      </c>
      <c r="K258" t="s">
        <v>67</v>
      </c>
      <c r="L258" t="s">
        <v>52</v>
      </c>
      <c r="M258" t="s">
        <v>93</v>
      </c>
      <c r="N258" t="str">
        <f t="shared" si="7"/>
        <v>Apr</v>
      </c>
    </row>
    <row r="259" spans="1:14" x14ac:dyDescent="0.3">
      <c r="A259" t="s">
        <v>645</v>
      </c>
      <c r="B259" t="s">
        <v>646</v>
      </c>
      <c r="C259" t="s">
        <v>647</v>
      </c>
      <c r="D259" t="s">
        <v>78</v>
      </c>
      <c r="E259" t="s">
        <v>42</v>
      </c>
      <c r="F259" s="3">
        <v>8.65</v>
      </c>
      <c r="G259">
        <v>815</v>
      </c>
      <c r="H259" s="3">
        <f t="shared" ref="H259:H322" si="8">F259*G259</f>
        <v>7049.75</v>
      </c>
      <c r="I259" s="3">
        <v>352.49</v>
      </c>
      <c r="J259" s="3">
        <v>6697.26</v>
      </c>
      <c r="K259" t="s">
        <v>61</v>
      </c>
      <c r="L259" t="s">
        <v>26</v>
      </c>
      <c r="M259" t="s">
        <v>53</v>
      </c>
      <c r="N259" t="str">
        <f t="shared" ref="N259:N322" si="9">TEXT(B259,"mmm")</f>
        <v>Oct</v>
      </c>
    </row>
    <row r="260" spans="1:14" x14ac:dyDescent="0.3">
      <c r="A260" t="s">
        <v>648</v>
      </c>
      <c r="B260" t="s">
        <v>649</v>
      </c>
      <c r="C260" t="s">
        <v>349</v>
      </c>
      <c r="D260" t="s">
        <v>60</v>
      </c>
      <c r="E260" t="s">
        <v>51</v>
      </c>
      <c r="F260" s="3">
        <v>2.75</v>
      </c>
      <c r="G260">
        <v>1503</v>
      </c>
      <c r="H260" s="3">
        <f t="shared" si="8"/>
        <v>4133.25</v>
      </c>
      <c r="I260" s="3">
        <v>206.66</v>
      </c>
      <c r="J260" s="3">
        <v>3926.59</v>
      </c>
      <c r="K260" t="s">
        <v>18</v>
      </c>
      <c r="L260" t="s">
        <v>79</v>
      </c>
      <c r="M260" t="s">
        <v>37</v>
      </c>
      <c r="N260" t="str">
        <f t="shared" si="9"/>
        <v>Nov</v>
      </c>
    </row>
    <row r="261" spans="1:14" x14ac:dyDescent="0.3">
      <c r="A261" t="s">
        <v>650</v>
      </c>
      <c r="B261" t="s">
        <v>629</v>
      </c>
      <c r="C261" t="s">
        <v>154</v>
      </c>
      <c r="D261" t="s">
        <v>92</v>
      </c>
      <c r="E261" t="s">
        <v>24</v>
      </c>
      <c r="F261" s="3">
        <v>13.29</v>
      </c>
      <c r="G261">
        <v>405</v>
      </c>
      <c r="H261" s="3">
        <f t="shared" si="8"/>
        <v>5382.45</v>
      </c>
      <c r="I261" s="3">
        <v>269.12</v>
      </c>
      <c r="J261" s="3">
        <v>5113.33</v>
      </c>
      <c r="K261" t="s">
        <v>119</v>
      </c>
      <c r="L261" t="s">
        <v>26</v>
      </c>
      <c r="M261" t="s">
        <v>53</v>
      </c>
      <c r="N261" t="str">
        <f t="shared" si="9"/>
        <v>Dec</v>
      </c>
    </row>
    <row r="262" spans="1:14" x14ac:dyDescent="0.3">
      <c r="A262" t="s">
        <v>651</v>
      </c>
      <c r="B262" t="s">
        <v>378</v>
      </c>
      <c r="C262" t="s">
        <v>652</v>
      </c>
      <c r="D262" t="s">
        <v>155</v>
      </c>
      <c r="E262" t="s">
        <v>36</v>
      </c>
      <c r="F262" s="3">
        <v>14.49</v>
      </c>
      <c r="G262">
        <v>260</v>
      </c>
      <c r="H262" s="3">
        <f t="shared" si="8"/>
        <v>3767.4</v>
      </c>
      <c r="I262" s="3">
        <v>565.11</v>
      </c>
      <c r="J262" s="3">
        <v>3202.29</v>
      </c>
      <c r="K262" t="s">
        <v>67</v>
      </c>
      <c r="L262" t="s">
        <v>26</v>
      </c>
      <c r="M262" t="s">
        <v>37</v>
      </c>
      <c r="N262" t="str">
        <f t="shared" si="9"/>
        <v>Jun</v>
      </c>
    </row>
    <row r="263" spans="1:14" x14ac:dyDescent="0.3">
      <c r="A263" t="s">
        <v>653</v>
      </c>
      <c r="B263" t="s">
        <v>208</v>
      </c>
      <c r="C263" t="s">
        <v>45</v>
      </c>
      <c r="D263" t="s">
        <v>110</v>
      </c>
      <c r="E263" t="s">
        <v>51</v>
      </c>
      <c r="F263" s="3">
        <v>6.64</v>
      </c>
      <c r="G263">
        <v>1112</v>
      </c>
      <c r="H263" s="3">
        <f t="shared" si="8"/>
        <v>7383.6799999999994</v>
      </c>
      <c r="I263" s="3">
        <v>738.37</v>
      </c>
      <c r="J263" s="3">
        <v>6645.31</v>
      </c>
      <c r="K263" t="s">
        <v>61</v>
      </c>
      <c r="L263" t="s">
        <v>79</v>
      </c>
      <c r="M263" t="s">
        <v>53</v>
      </c>
      <c r="N263" t="str">
        <f t="shared" si="9"/>
        <v>May</v>
      </c>
    </row>
    <row r="264" spans="1:14" x14ac:dyDescent="0.3">
      <c r="A264" t="s">
        <v>654</v>
      </c>
      <c r="B264" t="s">
        <v>655</v>
      </c>
      <c r="C264" t="s">
        <v>321</v>
      </c>
      <c r="D264" t="s">
        <v>60</v>
      </c>
      <c r="E264" t="s">
        <v>24</v>
      </c>
      <c r="F264" s="3">
        <v>12.34</v>
      </c>
      <c r="G264">
        <v>1499</v>
      </c>
      <c r="H264" s="3">
        <f t="shared" si="8"/>
        <v>18497.66</v>
      </c>
      <c r="I264" s="3">
        <v>2774.65</v>
      </c>
      <c r="J264" s="3">
        <v>15723.01</v>
      </c>
      <c r="K264" t="s">
        <v>61</v>
      </c>
      <c r="L264" t="s">
        <v>26</v>
      </c>
      <c r="M264" t="s">
        <v>53</v>
      </c>
      <c r="N264" t="str">
        <f t="shared" si="9"/>
        <v>Sep</v>
      </c>
    </row>
    <row r="265" spans="1:14" x14ac:dyDescent="0.3">
      <c r="A265" t="s">
        <v>656</v>
      </c>
      <c r="B265" t="s">
        <v>657</v>
      </c>
      <c r="C265" t="s">
        <v>647</v>
      </c>
      <c r="D265" t="s">
        <v>225</v>
      </c>
      <c r="E265" t="s">
        <v>42</v>
      </c>
      <c r="F265" s="3">
        <v>13.17</v>
      </c>
      <c r="G265">
        <v>1538</v>
      </c>
      <c r="H265" s="3">
        <f t="shared" si="8"/>
        <v>20255.46</v>
      </c>
      <c r="I265" s="3">
        <v>1012.77</v>
      </c>
      <c r="J265" s="3">
        <v>19242.689999999999</v>
      </c>
      <c r="K265" t="s">
        <v>18</v>
      </c>
      <c r="L265" t="s">
        <v>79</v>
      </c>
      <c r="M265" t="s">
        <v>20</v>
      </c>
      <c r="N265" t="str">
        <f t="shared" si="9"/>
        <v>Jun</v>
      </c>
    </row>
    <row r="266" spans="1:14" x14ac:dyDescent="0.3">
      <c r="A266" t="s">
        <v>658</v>
      </c>
      <c r="B266" t="s">
        <v>659</v>
      </c>
      <c r="C266" t="s">
        <v>177</v>
      </c>
      <c r="D266" t="s">
        <v>78</v>
      </c>
      <c r="E266" t="s">
        <v>51</v>
      </c>
      <c r="F266" s="3">
        <v>3.56</v>
      </c>
      <c r="G266">
        <v>695</v>
      </c>
      <c r="H266" s="3">
        <f t="shared" si="8"/>
        <v>2474.1999999999998</v>
      </c>
      <c r="I266" s="3">
        <v>123.71</v>
      </c>
      <c r="J266" s="3">
        <v>2350.4899999999998</v>
      </c>
      <c r="K266" t="s">
        <v>119</v>
      </c>
      <c r="L266" t="s">
        <v>26</v>
      </c>
      <c r="M266" t="s">
        <v>37</v>
      </c>
      <c r="N266" t="str">
        <f t="shared" si="9"/>
        <v>Oct</v>
      </c>
    </row>
    <row r="267" spans="1:14" x14ac:dyDescent="0.3">
      <c r="A267" t="s">
        <v>660</v>
      </c>
      <c r="B267" t="s">
        <v>661</v>
      </c>
      <c r="C267" t="s">
        <v>662</v>
      </c>
      <c r="D267" t="s">
        <v>110</v>
      </c>
      <c r="E267" t="s">
        <v>51</v>
      </c>
      <c r="F267" s="3">
        <v>11.81</v>
      </c>
      <c r="G267">
        <v>1020</v>
      </c>
      <c r="H267" s="3">
        <f t="shared" si="8"/>
        <v>12046.2</v>
      </c>
      <c r="I267" s="3">
        <v>1806.93</v>
      </c>
      <c r="J267" s="3">
        <v>10239.27</v>
      </c>
      <c r="K267" t="s">
        <v>119</v>
      </c>
      <c r="L267" t="s">
        <v>26</v>
      </c>
      <c r="M267" t="s">
        <v>27</v>
      </c>
      <c r="N267" t="str">
        <f t="shared" si="9"/>
        <v>Oct</v>
      </c>
    </row>
    <row r="268" spans="1:14" x14ac:dyDescent="0.3">
      <c r="A268" t="s">
        <v>663</v>
      </c>
      <c r="B268" t="s">
        <v>664</v>
      </c>
      <c r="C268" t="s">
        <v>665</v>
      </c>
      <c r="D268" t="s">
        <v>71</v>
      </c>
      <c r="E268" t="s">
        <v>17</v>
      </c>
      <c r="F268" s="3">
        <v>8.8800000000000008</v>
      </c>
      <c r="G268">
        <v>396</v>
      </c>
      <c r="H268" s="3">
        <f t="shared" si="8"/>
        <v>3516.4800000000005</v>
      </c>
      <c r="I268" s="3">
        <v>0</v>
      </c>
      <c r="J268" s="3">
        <v>3516.48</v>
      </c>
      <c r="K268" t="s">
        <v>25</v>
      </c>
      <c r="L268" t="s">
        <v>19</v>
      </c>
      <c r="M268" t="s">
        <v>93</v>
      </c>
      <c r="N268" t="str">
        <f t="shared" si="9"/>
        <v>Jun</v>
      </c>
    </row>
    <row r="269" spans="1:14" x14ac:dyDescent="0.3">
      <c r="A269" t="s">
        <v>666</v>
      </c>
      <c r="B269" t="s">
        <v>667</v>
      </c>
      <c r="C269" t="s">
        <v>425</v>
      </c>
      <c r="D269" t="s">
        <v>16</v>
      </c>
      <c r="E269" t="s">
        <v>32</v>
      </c>
      <c r="F269" s="3">
        <v>3.36</v>
      </c>
      <c r="G269">
        <v>1311</v>
      </c>
      <c r="H269" s="3">
        <f t="shared" si="8"/>
        <v>4404.96</v>
      </c>
      <c r="I269" s="3">
        <v>220.25</v>
      </c>
      <c r="J269" s="3">
        <v>4184.71</v>
      </c>
      <c r="K269" t="s">
        <v>18</v>
      </c>
      <c r="L269" t="s">
        <v>26</v>
      </c>
      <c r="M269" t="s">
        <v>93</v>
      </c>
      <c r="N269" t="str">
        <f t="shared" si="9"/>
        <v>Dec</v>
      </c>
    </row>
    <row r="270" spans="1:14" x14ac:dyDescent="0.3">
      <c r="A270" t="s">
        <v>668</v>
      </c>
      <c r="B270" t="s">
        <v>130</v>
      </c>
      <c r="C270" t="s">
        <v>327</v>
      </c>
      <c r="D270" t="s">
        <v>60</v>
      </c>
      <c r="E270" t="s">
        <v>51</v>
      </c>
      <c r="F270" s="3">
        <v>2.3199999999999998</v>
      </c>
      <c r="G270">
        <v>1326</v>
      </c>
      <c r="H270" s="3">
        <f t="shared" si="8"/>
        <v>3076.3199999999997</v>
      </c>
      <c r="I270" s="3">
        <v>461.45</v>
      </c>
      <c r="J270" s="3">
        <v>2614.87</v>
      </c>
      <c r="K270" t="s">
        <v>119</v>
      </c>
      <c r="L270" t="s">
        <v>19</v>
      </c>
      <c r="M270" t="s">
        <v>93</v>
      </c>
      <c r="N270" t="str">
        <f t="shared" si="9"/>
        <v>Apr</v>
      </c>
    </row>
    <row r="271" spans="1:14" x14ac:dyDescent="0.3">
      <c r="A271" t="s">
        <v>669</v>
      </c>
      <c r="B271" t="s">
        <v>243</v>
      </c>
      <c r="C271" t="s">
        <v>45</v>
      </c>
      <c r="D271" t="s">
        <v>78</v>
      </c>
      <c r="E271" t="s">
        <v>24</v>
      </c>
      <c r="F271" s="3">
        <v>1.73</v>
      </c>
      <c r="G271">
        <v>1499</v>
      </c>
      <c r="H271" s="3">
        <f t="shared" si="8"/>
        <v>2593.27</v>
      </c>
      <c r="I271" s="3">
        <v>259.33</v>
      </c>
      <c r="J271" s="3">
        <v>2333.94</v>
      </c>
      <c r="K271" t="s">
        <v>25</v>
      </c>
      <c r="L271" t="s">
        <v>79</v>
      </c>
      <c r="M271" t="s">
        <v>93</v>
      </c>
      <c r="N271" t="str">
        <f t="shared" si="9"/>
        <v>Sep</v>
      </c>
    </row>
    <row r="272" spans="1:14" x14ac:dyDescent="0.3">
      <c r="A272" t="s">
        <v>670</v>
      </c>
      <c r="B272" t="s">
        <v>671</v>
      </c>
      <c r="C272" t="s">
        <v>317</v>
      </c>
      <c r="D272" t="s">
        <v>78</v>
      </c>
      <c r="E272" t="s">
        <v>36</v>
      </c>
      <c r="F272" s="3">
        <v>2.94</v>
      </c>
      <c r="G272">
        <v>217</v>
      </c>
      <c r="H272" s="3">
        <f t="shared" si="8"/>
        <v>637.98</v>
      </c>
      <c r="I272" s="3">
        <v>31.9</v>
      </c>
      <c r="J272" s="3">
        <v>606.08000000000004</v>
      </c>
      <c r="K272" t="s">
        <v>67</v>
      </c>
      <c r="L272" t="s">
        <v>26</v>
      </c>
      <c r="M272" t="s">
        <v>20</v>
      </c>
      <c r="N272" t="str">
        <f t="shared" si="9"/>
        <v>Sep</v>
      </c>
    </row>
    <row r="273" spans="1:14" x14ac:dyDescent="0.3">
      <c r="A273" t="s">
        <v>672</v>
      </c>
      <c r="B273" t="s">
        <v>337</v>
      </c>
      <c r="C273" t="s">
        <v>264</v>
      </c>
      <c r="D273" t="s">
        <v>41</v>
      </c>
      <c r="E273" t="s">
        <v>51</v>
      </c>
      <c r="F273" s="3">
        <v>12.23</v>
      </c>
      <c r="G273">
        <v>181</v>
      </c>
      <c r="H273" s="3">
        <f t="shared" si="8"/>
        <v>2213.63</v>
      </c>
      <c r="I273" s="3">
        <v>221.36</v>
      </c>
      <c r="J273" s="3">
        <v>1992.27</v>
      </c>
      <c r="K273" t="s">
        <v>119</v>
      </c>
      <c r="L273" t="s">
        <v>52</v>
      </c>
      <c r="M273" t="s">
        <v>20</v>
      </c>
      <c r="N273" t="str">
        <f t="shared" si="9"/>
        <v>Sep</v>
      </c>
    </row>
    <row r="274" spans="1:14" x14ac:dyDescent="0.3">
      <c r="A274" t="s">
        <v>673</v>
      </c>
      <c r="B274" t="s">
        <v>674</v>
      </c>
      <c r="C274" t="s">
        <v>317</v>
      </c>
      <c r="D274" t="s">
        <v>50</v>
      </c>
      <c r="E274" t="s">
        <v>51</v>
      </c>
      <c r="F274" s="3">
        <v>10.73</v>
      </c>
      <c r="G274">
        <v>1756</v>
      </c>
      <c r="H274" s="3">
        <f t="shared" si="8"/>
        <v>18841.88</v>
      </c>
      <c r="I274" s="3">
        <v>0</v>
      </c>
      <c r="J274" s="3">
        <v>18841.88</v>
      </c>
      <c r="K274" t="s">
        <v>18</v>
      </c>
      <c r="L274" t="s">
        <v>19</v>
      </c>
      <c r="M274" t="s">
        <v>37</v>
      </c>
      <c r="N274" t="str">
        <f t="shared" si="9"/>
        <v>May</v>
      </c>
    </row>
    <row r="275" spans="1:14" x14ac:dyDescent="0.3">
      <c r="A275" t="s">
        <v>675</v>
      </c>
      <c r="B275" t="s">
        <v>216</v>
      </c>
      <c r="C275" t="s">
        <v>469</v>
      </c>
      <c r="D275" t="s">
        <v>31</v>
      </c>
      <c r="E275" t="s">
        <v>32</v>
      </c>
      <c r="F275" s="3">
        <v>2.2599999999999998</v>
      </c>
      <c r="G275">
        <v>39</v>
      </c>
      <c r="H275" s="3">
        <f t="shared" si="8"/>
        <v>88.139999999999986</v>
      </c>
      <c r="I275" s="3">
        <v>4.41</v>
      </c>
      <c r="J275" s="3">
        <v>83.73</v>
      </c>
      <c r="K275" t="s">
        <v>18</v>
      </c>
      <c r="L275" t="s">
        <v>52</v>
      </c>
      <c r="M275" t="s">
        <v>37</v>
      </c>
      <c r="N275" t="str">
        <f t="shared" si="9"/>
        <v>Jul</v>
      </c>
    </row>
    <row r="276" spans="1:14" x14ac:dyDescent="0.3">
      <c r="A276" t="s">
        <v>676</v>
      </c>
      <c r="B276" t="s">
        <v>361</v>
      </c>
      <c r="C276" t="s">
        <v>510</v>
      </c>
      <c r="D276" t="s">
        <v>107</v>
      </c>
      <c r="E276" t="s">
        <v>24</v>
      </c>
      <c r="F276" s="3">
        <v>13.58</v>
      </c>
      <c r="G276">
        <v>1902</v>
      </c>
      <c r="H276" s="3">
        <f t="shared" si="8"/>
        <v>25829.16</v>
      </c>
      <c r="I276" s="3">
        <v>0</v>
      </c>
      <c r="J276" s="3">
        <v>25829.16</v>
      </c>
      <c r="K276" t="s">
        <v>67</v>
      </c>
      <c r="L276" t="s">
        <v>26</v>
      </c>
      <c r="M276" t="s">
        <v>27</v>
      </c>
      <c r="N276" t="str">
        <f t="shared" si="9"/>
        <v>Nov</v>
      </c>
    </row>
    <row r="277" spans="1:14" x14ac:dyDescent="0.3">
      <c r="A277" t="s">
        <v>677</v>
      </c>
      <c r="B277" t="s">
        <v>678</v>
      </c>
      <c r="C277" t="s">
        <v>100</v>
      </c>
      <c r="D277" t="s">
        <v>35</v>
      </c>
      <c r="E277" t="s">
        <v>24</v>
      </c>
      <c r="F277" s="3">
        <v>13.98</v>
      </c>
      <c r="G277">
        <v>1421</v>
      </c>
      <c r="H277" s="3">
        <f t="shared" si="8"/>
        <v>19865.580000000002</v>
      </c>
      <c r="I277" s="3">
        <v>1986.56</v>
      </c>
      <c r="J277" s="3">
        <v>17879.02</v>
      </c>
      <c r="K277" t="s">
        <v>25</v>
      </c>
      <c r="L277" t="s">
        <v>19</v>
      </c>
      <c r="M277" t="s">
        <v>62</v>
      </c>
      <c r="N277" t="str">
        <f t="shared" si="9"/>
        <v>Oct</v>
      </c>
    </row>
    <row r="278" spans="1:14" x14ac:dyDescent="0.3">
      <c r="A278" t="s">
        <v>679</v>
      </c>
      <c r="B278" t="s">
        <v>680</v>
      </c>
      <c r="C278" t="s">
        <v>681</v>
      </c>
      <c r="D278" t="s">
        <v>155</v>
      </c>
      <c r="E278" t="s">
        <v>42</v>
      </c>
      <c r="F278" s="3">
        <v>3.45</v>
      </c>
      <c r="G278">
        <v>1700</v>
      </c>
      <c r="H278" s="3">
        <f t="shared" si="8"/>
        <v>5865</v>
      </c>
      <c r="I278" s="3">
        <v>879.75</v>
      </c>
      <c r="J278" s="3">
        <v>4985.25</v>
      </c>
      <c r="K278" t="s">
        <v>18</v>
      </c>
      <c r="L278" t="s">
        <v>79</v>
      </c>
      <c r="M278" t="s">
        <v>62</v>
      </c>
      <c r="N278" t="str">
        <f t="shared" si="9"/>
        <v>Jun</v>
      </c>
    </row>
    <row r="279" spans="1:14" x14ac:dyDescent="0.3">
      <c r="A279" t="s">
        <v>682</v>
      </c>
      <c r="B279" t="s">
        <v>450</v>
      </c>
      <c r="C279" t="s">
        <v>233</v>
      </c>
      <c r="D279" t="s">
        <v>107</v>
      </c>
      <c r="E279" t="s">
        <v>32</v>
      </c>
      <c r="F279" s="3">
        <v>10.64</v>
      </c>
      <c r="G279">
        <v>1127</v>
      </c>
      <c r="H279" s="3">
        <f t="shared" si="8"/>
        <v>11991.28</v>
      </c>
      <c r="I279" s="3">
        <v>1199.1300000000001</v>
      </c>
      <c r="J279" s="3">
        <v>10792.15</v>
      </c>
      <c r="K279" t="s">
        <v>119</v>
      </c>
      <c r="L279" t="s">
        <v>26</v>
      </c>
      <c r="M279" t="s">
        <v>27</v>
      </c>
      <c r="N279" t="str">
        <f t="shared" si="9"/>
        <v>Oct</v>
      </c>
    </row>
    <row r="280" spans="1:14" x14ac:dyDescent="0.3">
      <c r="A280" t="s">
        <v>683</v>
      </c>
      <c r="B280" t="s">
        <v>44</v>
      </c>
      <c r="C280" t="s">
        <v>134</v>
      </c>
      <c r="D280" t="s">
        <v>41</v>
      </c>
      <c r="E280" t="s">
        <v>24</v>
      </c>
      <c r="F280" s="3">
        <v>2.82</v>
      </c>
      <c r="G280">
        <v>495</v>
      </c>
      <c r="H280" s="3">
        <f t="shared" si="8"/>
        <v>1395.8999999999999</v>
      </c>
      <c r="I280" s="3">
        <v>0</v>
      </c>
      <c r="J280" s="3">
        <v>1395.9</v>
      </c>
      <c r="K280" t="s">
        <v>61</v>
      </c>
      <c r="L280" t="s">
        <v>52</v>
      </c>
      <c r="M280" t="s">
        <v>53</v>
      </c>
      <c r="N280" t="str">
        <f t="shared" si="9"/>
        <v>Feb</v>
      </c>
    </row>
    <row r="281" spans="1:14" x14ac:dyDescent="0.3">
      <c r="A281" t="s">
        <v>684</v>
      </c>
      <c r="B281" t="s">
        <v>685</v>
      </c>
      <c r="C281" t="s">
        <v>56</v>
      </c>
      <c r="D281" t="s">
        <v>35</v>
      </c>
      <c r="E281" t="s">
        <v>32</v>
      </c>
      <c r="F281" s="3">
        <v>8.1199999999999992</v>
      </c>
      <c r="G281">
        <v>748</v>
      </c>
      <c r="H281" s="3">
        <f t="shared" si="8"/>
        <v>6073.7599999999993</v>
      </c>
      <c r="I281" s="3">
        <v>911.06</v>
      </c>
      <c r="J281" s="3">
        <v>5162.7</v>
      </c>
      <c r="K281" t="s">
        <v>119</v>
      </c>
      <c r="L281" t="s">
        <v>26</v>
      </c>
      <c r="M281" t="s">
        <v>27</v>
      </c>
      <c r="N281" t="str">
        <f t="shared" si="9"/>
        <v>Jan</v>
      </c>
    </row>
    <row r="282" spans="1:14" x14ac:dyDescent="0.3">
      <c r="A282" t="s">
        <v>686</v>
      </c>
      <c r="B282" t="s">
        <v>659</v>
      </c>
      <c r="C282" t="s">
        <v>395</v>
      </c>
      <c r="D282" t="s">
        <v>66</v>
      </c>
      <c r="E282" t="s">
        <v>24</v>
      </c>
      <c r="F282" s="3">
        <v>11.92</v>
      </c>
      <c r="G282">
        <v>624</v>
      </c>
      <c r="H282" s="3">
        <f t="shared" si="8"/>
        <v>7438.08</v>
      </c>
      <c r="I282" s="3">
        <v>371.9</v>
      </c>
      <c r="J282" s="3">
        <v>7066.18</v>
      </c>
      <c r="K282" t="s">
        <v>18</v>
      </c>
      <c r="L282" t="s">
        <v>19</v>
      </c>
      <c r="M282" t="s">
        <v>53</v>
      </c>
      <c r="N282" t="str">
        <f t="shared" si="9"/>
        <v>Oct</v>
      </c>
    </row>
    <row r="283" spans="1:14" x14ac:dyDescent="0.3">
      <c r="A283" t="s">
        <v>687</v>
      </c>
      <c r="B283" t="s">
        <v>232</v>
      </c>
      <c r="C283" t="s">
        <v>435</v>
      </c>
      <c r="D283" t="s">
        <v>71</v>
      </c>
      <c r="E283" t="s">
        <v>17</v>
      </c>
      <c r="F283" s="3">
        <v>6.76</v>
      </c>
      <c r="G283">
        <v>758</v>
      </c>
      <c r="H283" s="3">
        <f t="shared" si="8"/>
        <v>5124.08</v>
      </c>
      <c r="I283" s="3">
        <v>0</v>
      </c>
      <c r="J283" s="3">
        <v>5124.08</v>
      </c>
      <c r="K283" t="s">
        <v>18</v>
      </c>
      <c r="L283" t="s">
        <v>19</v>
      </c>
      <c r="M283" t="s">
        <v>53</v>
      </c>
      <c r="N283" t="str">
        <f t="shared" si="9"/>
        <v>Mar</v>
      </c>
    </row>
    <row r="284" spans="1:14" x14ac:dyDescent="0.3">
      <c r="A284" t="s">
        <v>688</v>
      </c>
      <c r="B284" t="s">
        <v>525</v>
      </c>
      <c r="C284" t="s">
        <v>74</v>
      </c>
      <c r="D284" t="s">
        <v>35</v>
      </c>
      <c r="E284" t="s">
        <v>24</v>
      </c>
      <c r="F284" s="3">
        <v>3.29</v>
      </c>
      <c r="G284">
        <v>403</v>
      </c>
      <c r="H284" s="3">
        <f t="shared" si="8"/>
        <v>1325.8700000000001</v>
      </c>
      <c r="I284" s="3">
        <v>198.88</v>
      </c>
      <c r="J284" s="3">
        <v>1126.99</v>
      </c>
      <c r="K284" t="s">
        <v>119</v>
      </c>
      <c r="L284" t="s">
        <v>52</v>
      </c>
      <c r="M284" t="s">
        <v>93</v>
      </c>
      <c r="N284" t="str">
        <f t="shared" si="9"/>
        <v>Aug</v>
      </c>
    </row>
    <row r="285" spans="1:14" x14ac:dyDescent="0.3">
      <c r="A285" t="s">
        <v>689</v>
      </c>
      <c r="B285" t="s">
        <v>238</v>
      </c>
      <c r="C285" t="s">
        <v>443</v>
      </c>
      <c r="D285" t="s">
        <v>41</v>
      </c>
      <c r="E285" t="s">
        <v>42</v>
      </c>
      <c r="F285" s="3">
        <v>2.76</v>
      </c>
      <c r="G285">
        <v>1244</v>
      </c>
      <c r="H285" s="3">
        <f t="shared" si="8"/>
        <v>3433.4399999999996</v>
      </c>
      <c r="I285" s="3">
        <v>343.34</v>
      </c>
      <c r="J285" s="3">
        <v>3090.1</v>
      </c>
      <c r="K285" t="s">
        <v>119</v>
      </c>
      <c r="L285" t="s">
        <v>19</v>
      </c>
      <c r="M285" t="s">
        <v>53</v>
      </c>
      <c r="N285" t="str">
        <f t="shared" si="9"/>
        <v>Jan</v>
      </c>
    </row>
    <row r="286" spans="1:14" x14ac:dyDescent="0.3">
      <c r="A286" t="s">
        <v>690</v>
      </c>
      <c r="B286" t="s">
        <v>406</v>
      </c>
      <c r="C286" t="s">
        <v>128</v>
      </c>
      <c r="D286" t="s">
        <v>97</v>
      </c>
      <c r="E286" t="s">
        <v>17</v>
      </c>
      <c r="F286" s="3">
        <v>13.67</v>
      </c>
      <c r="G286">
        <v>1873</v>
      </c>
      <c r="H286" s="3">
        <f t="shared" si="8"/>
        <v>25603.91</v>
      </c>
      <c r="I286" s="3">
        <v>1280.2</v>
      </c>
      <c r="J286" s="3">
        <v>24323.71</v>
      </c>
      <c r="K286" t="s">
        <v>25</v>
      </c>
      <c r="L286" t="s">
        <v>26</v>
      </c>
      <c r="M286" t="s">
        <v>27</v>
      </c>
      <c r="N286" t="str">
        <f t="shared" si="9"/>
        <v>Jul</v>
      </c>
    </row>
    <row r="287" spans="1:14" x14ac:dyDescent="0.3">
      <c r="A287" t="s">
        <v>691</v>
      </c>
      <c r="B287" t="s">
        <v>216</v>
      </c>
      <c r="C287" t="s">
        <v>665</v>
      </c>
      <c r="D287" t="s">
        <v>71</v>
      </c>
      <c r="E287" t="s">
        <v>51</v>
      </c>
      <c r="F287" s="3">
        <v>5.57</v>
      </c>
      <c r="G287">
        <v>1029</v>
      </c>
      <c r="H287" s="3">
        <f t="shared" si="8"/>
        <v>5731.5300000000007</v>
      </c>
      <c r="I287" s="3">
        <v>286.58</v>
      </c>
      <c r="J287" s="3">
        <v>5444.95</v>
      </c>
      <c r="K287" t="s">
        <v>18</v>
      </c>
      <c r="L287" t="s">
        <v>26</v>
      </c>
      <c r="M287" t="s">
        <v>37</v>
      </c>
      <c r="N287" t="str">
        <f t="shared" si="9"/>
        <v>Jul</v>
      </c>
    </row>
    <row r="288" spans="1:14" x14ac:dyDescent="0.3">
      <c r="A288" t="s">
        <v>692</v>
      </c>
      <c r="B288" t="s">
        <v>693</v>
      </c>
      <c r="C288" t="s">
        <v>140</v>
      </c>
      <c r="D288" t="s">
        <v>46</v>
      </c>
      <c r="E288" t="s">
        <v>32</v>
      </c>
      <c r="F288" s="3">
        <v>12.07</v>
      </c>
      <c r="G288">
        <v>759</v>
      </c>
      <c r="H288" s="3">
        <f t="shared" si="8"/>
        <v>9161.130000000001</v>
      </c>
      <c r="I288" s="3">
        <v>916.11</v>
      </c>
      <c r="J288" s="3">
        <v>8245.02</v>
      </c>
      <c r="K288" t="s">
        <v>67</v>
      </c>
      <c r="L288" t="s">
        <v>52</v>
      </c>
      <c r="M288" t="s">
        <v>20</v>
      </c>
      <c r="N288" t="str">
        <f t="shared" si="9"/>
        <v>May</v>
      </c>
    </row>
    <row r="289" spans="1:14" x14ac:dyDescent="0.3">
      <c r="A289" t="s">
        <v>694</v>
      </c>
      <c r="B289" t="s">
        <v>383</v>
      </c>
      <c r="C289" t="s">
        <v>448</v>
      </c>
      <c r="D289" t="s">
        <v>60</v>
      </c>
      <c r="E289" t="s">
        <v>24</v>
      </c>
      <c r="F289" s="3">
        <v>3.33</v>
      </c>
      <c r="G289">
        <v>33</v>
      </c>
      <c r="H289" s="3">
        <f t="shared" si="8"/>
        <v>109.89</v>
      </c>
      <c r="I289" s="3">
        <v>16.48</v>
      </c>
      <c r="J289" s="3">
        <v>93.41</v>
      </c>
      <c r="K289" t="s">
        <v>61</v>
      </c>
      <c r="L289" t="s">
        <v>52</v>
      </c>
      <c r="M289" t="s">
        <v>53</v>
      </c>
      <c r="N289" t="str">
        <f t="shared" si="9"/>
        <v>Nov</v>
      </c>
    </row>
    <row r="290" spans="1:14" x14ac:dyDescent="0.3">
      <c r="A290" t="s">
        <v>695</v>
      </c>
      <c r="B290" t="s">
        <v>696</v>
      </c>
      <c r="C290" t="s">
        <v>697</v>
      </c>
      <c r="D290" t="s">
        <v>78</v>
      </c>
      <c r="E290" t="s">
        <v>17</v>
      </c>
      <c r="F290" s="3">
        <v>14.65</v>
      </c>
      <c r="G290">
        <v>298</v>
      </c>
      <c r="H290" s="3">
        <f t="shared" si="8"/>
        <v>4365.7</v>
      </c>
      <c r="I290" s="3">
        <v>436.57</v>
      </c>
      <c r="J290" s="3">
        <v>3929.13</v>
      </c>
      <c r="K290" t="s">
        <v>61</v>
      </c>
      <c r="L290" t="s">
        <v>26</v>
      </c>
      <c r="M290" t="s">
        <v>37</v>
      </c>
      <c r="N290" t="str">
        <f t="shared" si="9"/>
        <v>Aug</v>
      </c>
    </row>
    <row r="291" spans="1:14" x14ac:dyDescent="0.3">
      <c r="A291" t="s">
        <v>698</v>
      </c>
      <c r="B291" t="s">
        <v>657</v>
      </c>
      <c r="C291" t="s">
        <v>167</v>
      </c>
      <c r="D291" t="s">
        <v>66</v>
      </c>
      <c r="E291" t="s">
        <v>51</v>
      </c>
      <c r="F291" s="3">
        <v>5.43</v>
      </c>
      <c r="G291">
        <v>1443</v>
      </c>
      <c r="H291" s="3">
        <f t="shared" si="8"/>
        <v>7835.49</v>
      </c>
      <c r="I291" s="3">
        <v>1175.32</v>
      </c>
      <c r="J291" s="3">
        <v>6660.17</v>
      </c>
      <c r="K291" t="s">
        <v>25</v>
      </c>
      <c r="L291" t="s">
        <v>26</v>
      </c>
      <c r="M291" t="s">
        <v>53</v>
      </c>
      <c r="N291" t="str">
        <f t="shared" si="9"/>
        <v>Jun</v>
      </c>
    </row>
    <row r="292" spans="1:14" x14ac:dyDescent="0.3">
      <c r="A292" t="s">
        <v>699</v>
      </c>
      <c r="B292" t="s">
        <v>475</v>
      </c>
      <c r="C292" t="s">
        <v>582</v>
      </c>
      <c r="D292" t="s">
        <v>66</v>
      </c>
      <c r="E292" t="s">
        <v>51</v>
      </c>
      <c r="F292" s="3">
        <v>3.04</v>
      </c>
      <c r="G292">
        <v>1174</v>
      </c>
      <c r="H292" s="3">
        <f t="shared" si="8"/>
        <v>3568.96</v>
      </c>
      <c r="I292" s="3">
        <v>178.45</v>
      </c>
      <c r="J292" s="3">
        <v>3390.51</v>
      </c>
      <c r="K292" t="s">
        <v>25</v>
      </c>
      <c r="L292" t="s">
        <v>26</v>
      </c>
      <c r="M292" t="s">
        <v>27</v>
      </c>
      <c r="N292" t="str">
        <f t="shared" si="9"/>
        <v>Jul</v>
      </c>
    </row>
    <row r="293" spans="1:14" x14ac:dyDescent="0.3">
      <c r="A293" t="s">
        <v>700</v>
      </c>
      <c r="B293" t="s">
        <v>661</v>
      </c>
      <c r="C293" t="s">
        <v>701</v>
      </c>
      <c r="D293" t="s">
        <v>60</v>
      </c>
      <c r="E293" t="s">
        <v>17</v>
      </c>
      <c r="F293" s="3">
        <v>4.33</v>
      </c>
      <c r="G293">
        <v>1653</v>
      </c>
      <c r="H293" s="3">
        <f t="shared" si="8"/>
        <v>7157.49</v>
      </c>
      <c r="I293" s="3">
        <v>715.75</v>
      </c>
      <c r="J293" s="3">
        <v>6441.74</v>
      </c>
      <c r="K293" t="s">
        <v>18</v>
      </c>
      <c r="L293" t="s">
        <v>52</v>
      </c>
      <c r="M293" t="s">
        <v>27</v>
      </c>
      <c r="N293" t="str">
        <f t="shared" si="9"/>
        <v>Oct</v>
      </c>
    </row>
    <row r="294" spans="1:14" x14ac:dyDescent="0.3">
      <c r="A294" t="s">
        <v>702</v>
      </c>
      <c r="B294" t="s">
        <v>703</v>
      </c>
      <c r="C294" t="s">
        <v>211</v>
      </c>
      <c r="D294" t="s">
        <v>46</v>
      </c>
      <c r="E294" t="s">
        <v>36</v>
      </c>
      <c r="F294" s="3">
        <v>4.91</v>
      </c>
      <c r="G294">
        <v>335</v>
      </c>
      <c r="H294" s="3">
        <f t="shared" si="8"/>
        <v>1644.8500000000001</v>
      </c>
      <c r="I294" s="3">
        <v>246.73</v>
      </c>
      <c r="J294" s="3">
        <v>1398.12</v>
      </c>
      <c r="K294" t="s">
        <v>119</v>
      </c>
      <c r="L294" t="s">
        <v>19</v>
      </c>
      <c r="M294" t="s">
        <v>37</v>
      </c>
      <c r="N294" t="str">
        <f t="shared" si="9"/>
        <v>Sep</v>
      </c>
    </row>
    <row r="295" spans="1:14" x14ac:dyDescent="0.3">
      <c r="A295" t="s">
        <v>704</v>
      </c>
      <c r="B295" t="s">
        <v>705</v>
      </c>
      <c r="C295" t="s">
        <v>217</v>
      </c>
      <c r="D295" t="s">
        <v>107</v>
      </c>
      <c r="E295" t="s">
        <v>32</v>
      </c>
      <c r="F295" s="3">
        <v>8.7100000000000009</v>
      </c>
      <c r="G295">
        <v>1911</v>
      </c>
      <c r="H295" s="3">
        <f t="shared" si="8"/>
        <v>16644.810000000001</v>
      </c>
      <c r="I295" s="3">
        <v>2496.7199999999998</v>
      </c>
      <c r="J295" s="3">
        <v>14148.09</v>
      </c>
      <c r="K295" t="s">
        <v>25</v>
      </c>
      <c r="L295" t="s">
        <v>19</v>
      </c>
      <c r="M295" t="s">
        <v>53</v>
      </c>
      <c r="N295" t="str">
        <f t="shared" si="9"/>
        <v>Nov</v>
      </c>
    </row>
    <row r="296" spans="1:14" x14ac:dyDescent="0.3">
      <c r="A296" t="s">
        <v>706</v>
      </c>
      <c r="B296" t="s">
        <v>707</v>
      </c>
      <c r="C296" t="s">
        <v>496</v>
      </c>
      <c r="D296" t="s">
        <v>92</v>
      </c>
      <c r="E296" t="s">
        <v>17</v>
      </c>
      <c r="F296" s="3">
        <v>13.84</v>
      </c>
      <c r="G296">
        <v>243</v>
      </c>
      <c r="H296" s="3">
        <f t="shared" si="8"/>
        <v>3363.12</v>
      </c>
      <c r="I296" s="3">
        <v>168.16</v>
      </c>
      <c r="J296" s="3">
        <v>3194.96</v>
      </c>
      <c r="K296" t="s">
        <v>61</v>
      </c>
      <c r="L296" t="s">
        <v>26</v>
      </c>
      <c r="M296" t="s">
        <v>27</v>
      </c>
      <c r="N296" t="str">
        <f t="shared" si="9"/>
        <v>Dec</v>
      </c>
    </row>
    <row r="297" spans="1:14" x14ac:dyDescent="0.3">
      <c r="A297" t="s">
        <v>708</v>
      </c>
      <c r="B297" t="s">
        <v>523</v>
      </c>
      <c r="C297" t="s">
        <v>49</v>
      </c>
      <c r="D297" t="s">
        <v>107</v>
      </c>
      <c r="E297" t="s">
        <v>17</v>
      </c>
      <c r="F297" s="3">
        <v>10.65</v>
      </c>
      <c r="G297">
        <v>838</v>
      </c>
      <c r="H297" s="3">
        <f t="shared" si="8"/>
        <v>8924.7000000000007</v>
      </c>
      <c r="I297" s="3">
        <v>892.47</v>
      </c>
      <c r="J297" s="3">
        <v>8032.23</v>
      </c>
      <c r="K297" t="s">
        <v>119</v>
      </c>
      <c r="L297" t="s">
        <v>19</v>
      </c>
      <c r="M297" t="s">
        <v>93</v>
      </c>
      <c r="N297" t="str">
        <f t="shared" si="9"/>
        <v>Nov</v>
      </c>
    </row>
    <row r="298" spans="1:14" x14ac:dyDescent="0.3">
      <c r="A298" t="s">
        <v>709</v>
      </c>
      <c r="B298" t="s">
        <v>344</v>
      </c>
      <c r="C298" t="s">
        <v>710</v>
      </c>
      <c r="D298" t="s">
        <v>50</v>
      </c>
      <c r="E298" t="s">
        <v>42</v>
      </c>
      <c r="F298" s="3">
        <v>11.58</v>
      </c>
      <c r="G298">
        <v>1162</v>
      </c>
      <c r="H298" s="3">
        <f t="shared" si="8"/>
        <v>13455.960000000001</v>
      </c>
      <c r="I298" s="3">
        <v>672.8</v>
      </c>
      <c r="J298" s="3">
        <v>12783.16</v>
      </c>
      <c r="K298" t="s">
        <v>119</v>
      </c>
      <c r="L298" t="s">
        <v>79</v>
      </c>
      <c r="M298" t="s">
        <v>37</v>
      </c>
      <c r="N298" t="str">
        <f t="shared" si="9"/>
        <v>Feb</v>
      </c>
    </row>
    <row r="299" spans="1:14" x14ac:dyDescent="0.3">
      <c r="A299" t="s">
        <v>711</v>
      </c>
      <c r="B299" t="s">
        <v>251</v>
      </c>
      <c r="C299" t="s">
        <v>712</v>
      </c>
      <c r="D299" t="s">
        <v>107</v>
      </c>
      <c r="E299" t="s">
        <v>17</v>
      </c>
      <c r="F299" s="3">
        <v>8.26</v>
      </c>
      <c r="G299">
        <v>726</v>
      </c>
      <c r="H299" s="3">
        <f t="shared" si="8"/>
        <v>5996.76</v>
      </c>
      <c r="I299" s="3">
        <v>0</v>
      </c>
      <c r="J299" s="3">
        <v>5996.76</v>
      </c>
      <c r="K299" t="s">
        <v>119</v>
      </c>
      <c r="L299" t="s">
        <v>19</v>
      </c>
      <c r="M299" t="s">
        <v>53</v>
      </c>
      <c r="N299" t="str">
        <f t="shared" si="9"/>
        <v>Aug</v>
      </c>
    </row>
    <row r="300" spans="1:14" x14ac:dyDescent="0.3">
      <c r="A300" t="s">
        <v>713</v>
      </c>
      <c r="B300" t="s">
        <v>198</v>
      </c>
      <c r="C300" t="s">
        <v>257</v>
      </c>
      <c r="D300" t="s">
        <v>82</v>
      </c>
      <c r="E300" t="s">
        <v>17</v>
      </c>
      <c r="F300" s="3">
        <v>3.41</v>
      </c>
      <c r="G300">
        <v>658</v>
      </c>
      <c r="H300" s="3">
        <f t="shared" si="8"/>
        <v>2243.7800000000002</v>
      </c>
      <c r="I300" s="3">
        <v>224.38</v>
      </c>
      <c r="J300" s="3">
        <v>2019.4</v>
      </c>
      <c r="K300" t="s">
        <v>119</v>
      </c>
      <c r="L300" t="s">
        <v>26</v>
      </c>
      <c r="M300" t="s">
        <v>20</v>
      </c>
      <c r="N300" t="str">
        <f t="shared" si="9"/>
        <v>Aug</v>
      </c>
    </row>
    <row r="301" spans="1:14" x14ac:dyDescent="0.3">
      <c r="A301" t="s">
        <v>714</v>
      </c>
      <c r="B301" t="s">
        <v>329</v>
      </c>
      <c r="C301" t="s">
        <v>174</v>
      </c>
      <c r="D301" t="s">
        <v>114</v>
      </c>
      <c r="E301" t="s">
        <v>24</v>
      </c>
      <c r="F301" s="3">
        <v>7.42</v>
      </c>
      <c r="G301">
        <v>1446</v>
      </c>
      <c r="H301" s="3">
        <f t="shared" si="8"/>
        <v>10729.32</v>
      </c>
      <c r="I301" s="3">
        <v>1609.4</v>
      </c>
      <c r="J301" s="3">
        <v>9119.92</v>
      </c>
      <c r="K301" t="s">
        <v>61</v>
      </c>
      <c r="L301" t="s">
        <v>19</v>
      </c>
      <c r="M301" t="s">
        <v>53</v>
      </c>
      <c r="N301" t="str">
        <f t="shared" si="9"/>
        <v>Sep</v>
      </c>
    </row>
    <row r="302" spans="1:14" x14ac:dyDescent="0.3">
      <c r="A302" t="s">
        <v>715</v>
      </c>
      <c r="B302" t="s">
        <v>504</v>
      </c>
      <c r="C302" t="s">
        <v>441</v>
      </c>
      <c r="D302" t="s">
        <v>82</v>
      </c>
      <c r="E302" t="s">
        <v>24</v>
      </c>
      <c r="F302" s="3">
        <v>12.96</v>
      </c>
      <c r="G302">
        <v>1347</v>
      </c>
      <c r="H302" s="3">
        <f t="shared" si="8"/>
        <v>17457.120000000003</v>
      </c>
      <c r="I302" s="3">
        <v>0</v>
      </c>
      <c r="J302" s="3">
        <v>17457.12</v>
      </c>
      <c r="K302" t="s">
        <v>67</v>
      </c>
      <c r="L302" t="s">
        <v>26</v>
      </c>
      <c r="M302" t="s">
        <v>20</v>
      </c>
      <c r="N302" t="str">
        <f t="shared" si="9"/>
        <v>Jan</v>
      </c>
    </row>
    <row r="303" spans="1:14" x14ac:dyDescent="0.3">
      <c r="A303" t="s">
        <v>716</v>
      </c>
      <c r="B303" t="s">
        <v>188</v>
      </c>
      <c r="C303" t="s">
        <v>45</v>
      </c>
      <c r="D303" t="s">
        <v>270</v>
      </c>
      <c r="E303" t="s">
        <v>51</v>
      </c>
      <c r="F303" s="3">
        <v>9.06</v>
      </c>
      <c r="G303">
        <v>1982</v>
      </c>
      <c r="H303" s="3">
        <f t="shared" si="8"/>
        <v>17956.920000000002</v>
      </c>
      <c r="I303" s="3">
        <v>2693.54</v>
      </c>
      <c r="J303" s="3">
        <v>15263.38</v>
      </c>
      <c r="K303" t="s">
        <v>67</v>
      </c>
      <c r="L303" t="s">
        <v>52</v>
      </c>
      <c r="M303" t="s">
        <v>27</v>
      </c>
      <c r="N303" t="str">
        <f t="shared" si="9"/>
        <v>Mar</v>
      </c>
    </row>
    <row r="304" spans="1:14" x14ac:dyDescent="0.3">
      <c r="A304" t="s">
        <v>717</v>
      </c>
      <c r="B304" t="s">
        <v>644</v>
      </c>
      <c r="C304" t="s">
        <v>718</v>
      </c>
      <c r="D304" t="s">
        <v>78</v>
      </c>
      <c r="E304" t="s">
        <v>32</v>
      </c>
      <c r="F304" s="3">
        <v>1.89</v>
      </c>
      <c r="G304">
        <v>1277</v>
      </c>
      <c r="H304" s="3">
        <f t="shared" si="8"/>
        <v>2413.5299999999997</v>
      </c>
      <c r="I304" s="3">
        <v>120.68</v>
      </c>
      <c r="J304" s="3">
        <v>2292.85</v>
      </c>
      <c r="K304" t="s">
        <v>119</v>
      </c>
      <c r="L304" t="s">
        <v>52</v>
      </c>
      <c r="M304" t="s">
        <v>37</v>
      </c>
      <c r="N304" t="str">
        <f t="shared" si="9"/>
        <v>Apr</v>
      </c>
    </row>
    <row r="305" spans="1:14" x14ac:dyDescent="0.3">
      <c r="A305" t="s">
        <v>719</v>
      </c>
      <c r="B305" t="s">
        <v>720</v>
      </c>
      <c r="C305" t="s">
        <v>721</v>
      </c>
      <c r="D305" t="s">
        <v>155</v>
      </c>
      <c r="E305" t="s">
        <v>36</v>
      </c>
      <c r="F305" s="3">
        <v>5.26</v>
      </c>
      <c r="G305">
        <v>1461</v>
      </c>
      <c r="H305" s="3">
        <f t="shared" si="8"/>
        <v>7684.86</v>
      </c>
      <c r="I305" s="3">
        <v>0</v>
      </c>
      <c r="J305" s="3">
        <v>7684.86</v>
      </c>
      <c r="K305" t="s">
        <v>25</v>
      </c>
      <c r="L305" t="s">
        <v>19</v>
      </c>
      <c r="M305" t="s">
        <v>20</v>
      </c>
      <c r="N305" t="str">
        <f t="shared" si="9"/>
        <v>Jan</v>
      </c>
    </row>
    <row r="306" spans="1:14" x14ac:dyDescent="0.3">
      <c r="A306" t="s">
        <v>722</v>
      </c>
      <c r="B306" t="s">
        <v>512</v>
      </c>
      <c r="C306" t="s">
        <v>723</v>
      </c>
      <c r="D306" t="s">
        <v>110</v>
      </c>
      <c r="E306" t="s">
        <v>36</v>
      </c>
      <c r="F306" s="3">
        <v>7.68</v>
      </c>
      <c r="G306">
        <v>557</v>
      </c>
      <c r="H306" s="3">
        <f t="shared" si="8"/>
        <v>4277.76</v>
      </c>
      <c r="I306" s="3">
        <v>641.66</v>
      </c>
      <c r="J306" s="3">
        <v>3636.1</v>
      </c>
      <c r="K306" t="s">
        <v>25</v>
      </c>
      <c r="L306" t="s">
        <v>79</v>
      </c>
      <c r="M306" t="s">
        <v>20</v>
      </c>
      <c r="N306" t="str">
        <f t="shared" si="9"/>
        <v>Apr</v>
      </c>
    </row>
    <row r="307" spans="1:14" x14ac:dyDescent="0.3">
      <c r="A307" t="s">
        <v>724</v>
      </c>
      <c r="B307" t="s">
        <v>462</v>
      </c>
      <c r="C307" t="s">
        <v>725</v>
      </c>
      <c r="D307" t="s">
        <v>66</v>
      </c>
      <c r="E307" t="s">
        <v>42</v>
      </c>
      <c r="F307" s="3">
        <v>3.04</v>
      </c>
      <c r="G307">
        <v>740</v>
      </c>
      <c r="H307" s="3">
        <f t="shared" si="8"/>
        <v>2249.6</v>
      </c>
      <c r="I307" s="3">
        <v>337.44</v>
      </c>
      <c r="J307" s="3">
        <v>1912.16</v>
      </c>
      <c r="K307" t="s">
        <v>25</v>
      </c>
      <c r="L307" t="s">
        <v>26</v>
      </c>
      <c r="M307" t="s">
        <v>27</v>
      </c>
      <c r="N307" t="str">
        <f t="shared" si="9"/>
        <v>Jul</v>
      </c>
    </row>
    <row r="308" spans="1:14" x14ac:dyDescent="0.3">
      <c r="A308" t="s">
        <v>726</v>
      </c>
      <c r="B308" t="s">
        <v>727</v>
      </c>
      <c r="C308" t="s">
        <v>151</v>
      </c>
      <c r="D308" t="s">
        <v>92</v>
      </c>
      <c r="E308" t="s">
        <v>42</v>
      </c>
      <c r="F308" s="3">
        <v>2.64</v>
      </c>
      <c r="G308">
        <v>294</v>
      </c>
      <c r="H308" s="3">
        <f t="shared" si="8"/>
        <v>776.16000000000008</v>
      </c>
      <c r="I308" s="3">
        <v>77.62</v>
      </c>
      <c r="J308" s="3">
        <v>698.54</v>
      </c>
      <c r="K308" t="s">
        <v>18</v>
      </c>
      <c r="L308" t="s">
        <v>26</v>
      </c>
      <c r="M308" t="s">
        <v>53</v>
      </c>
      <c r="N308" t="str">
        <f t="shared" si="9"/>
        <v>Dec</v>
      </c>
    </row>
    <row r="309" spans="1:14" x14ac:dyDescent="0.3">
      <c r="A309" t="s">
        <v>728</v>
      </c>
      <c r="B309" t="s">
        <v>729</v>
      </c>
      <c r="C309" t="s">
        <v>224</v>
      </c>
      <c r="D309" t="s">
        <v>41</v>
      </c>
      <c r="E309" t="s">
        <v>17</v>
      </c>
      <c r="F309" s="3">
        <v>3.41</v>
      </c>
      <c r="G309">
        <v>815</v>
      </c>
      <c r="H309" s="3">
        <f t="shared" si="8"/>
        <v>2779.15</v>
      </c>
      <c r="I309" s="3">
        <v>416.87</v>
      </c>
      <c r="J309" s="3">
        <v>2362.2800000000002</v>
      </c>
      <c r="K309" t="s">
        <v>25</v>
      </c>
      <c r="L309" t="s">
        <v>26</v>
      </c>
      <c r="M309" t="s">
        <v>20</v>
      </c>
      <c r="N309" t="str">
        <f t="shared" si="9"/>
        <v>Mar</v>
      </c>
    </row>
    <row r="310" spans="1:14" x14ac:dyDescent="0.3">
      <c r="A310" t="s">
        <v>730</v>
      </c>
      <c r="B310" t="s">
        <v>354</v>
      </c>
      <c r="C310" t="s">
        <v>731</v>
      </c>
      <c r="D310" t="s">
        <v>270</v>
      </c>
      <c r="E310" t="s">
        <v>32</v>
      </c>
      <c r="F310" s="3">
        <v>10.08</v>
      </c>
      <c r="G310">
        <v>1440</v>
      </c>
      <c r="H310" s="3">
        <f t="shared" si="8"/>
        <v>14515.2</v>
      </c>
      <c r="I310" s="3">
        <v>725.76</v>
      </c>
      <c r="J310" s="3">
        <v>13789.44</v>
      </c>
      <c r="K310" t="s">
        <v>25</v>
      </c>
      <c r="L310" t="s">
        <v>26</v>
      </c>
      <c r="M310" t="s">
        <v>37</v>
      </c>
      <c r="N310" t="str">
        <f t="shared" si="9"/>
        <v>Jul</v>
      </c>
    </row>
    <row r="311" spans="1:14" x14ac:dyDescent="0.3">
      <c r="A311" t="s">
        <v>732</v>
      </c>
      <c r="B311" t="s">
        <v>492</v>
      </c>
      <c r="C311" t="s">
        <v>211</v>
      </c>
      <c r="D311" t="s">
        <v>270</v>
      </c>
      <c r="E311" t="s">
        <v>51</v>
      </c>
      <c r="F311" s="3">
        <v>12.87</v>
      </c>
      <c r="G311">
        <v>1288</v>
      </c>
      <c r="H311" s="3">
        <f t="shared" si="8"/>
        <v>16576.559999999998</v>
      </c>
      <c r="I311" s="3">
        <v>0</v>
      </c>
      <c r="J311" s="3">
        <v>16576.560000000001</v>
      </c>
      <c r="K311" t="s">
        <v>61</v>
      </c>
      <c r="L311" t="s">
        <v>19</v>
      </c>
      <c r="M311" t="s">
        <v>37</v>
      </c>
      <c r="N311" t="str">
        <f t="shared" si="9"/>
        <v>May</v>
      </c>
    </row>
    <row r="312" spans="1:14" x14ac:dyDescent="0.3">
      <c r="A312" t="s">
        <v>733</v>
      </c>
      <c r="B312" t="s">
        <v>734</v>
      </c>
      <c r="C312" t="s">
        <v>446</v>
      </c>
      <c r="D312" t="s">
        <v>66</v>
      </c>
      <c r="E312" t="s">
        <v>42</v>
      </c>
      <c r="F312" s="3">
        <v>8.32</v>
      </c>
      <c r="G312">
        <v>1033</v>
      </c>
      <c r="H312" s="3">
        <f t="shared" si="8"/>
        <v>8594.56</v>
      </c>
      <c r="I312" s="3">
        <v>1289.18</v>
      </c>
      <c r="J312" s="3">
        <v>7305.38</v>
      </c>
      <c r="K312" t="s">
        <v>119</v>
      </c>
      <c r="L312" t="s">
        <v>52</v>
      </c>
      <c r="M312" t="s">
        <v>27</v>
      </c>
      <c r="N312" t="str">
        <f t="shared" si="9"/>
        <v>Mar</v>
      </c>
    </row>
    <row r="313" spans="1:14" x14ac:dyDescent="0.3">
      <c r="A313" t="s">
        <v>735</v>
      </c>
      <c r="B313" t="s">
        <v>525</v>
      </c>
      <c r="C313" t="s">
        <v>736</v>
      </c>
      <c r="D313" t="s">
        <v>270</v>
      </c>
      <c r="E313" t="s">
        <v>24</v>
      </c>
      <c r="F313" s="3">
        <v>9.1300000000000008</v>
      </c>
      <c r="G313">
        <v>1649</v>
      </c>
      <c r="H313" s="3">
        <f t="shared" si="8"/>
        <v>15055.37</v>
      </c>
      <c r="I313" s="3">
        <v>752.77</v>
      </c>
      <c r="J313" s="3">
        <v>14302.6</v>
      </c>
      <c r="K313" t="s">
        <v>61</v>
      </c>
      <c r="L313" t="s">
        <v>19</v>
      </c>
      <c r="M313" t="s">
        <v>53</v>
      </c>
      <c r="N313" t="str">
        <f t="shared" si="9"/>
        <v>Aug</v>
      </c>
    </row>
    <row r="314" spans="1:14" x14ac:dyDescent="0.3">
      <c r="A314" t="s">
        <v>737</v>
      </c>
      <c r="B314" t="s">
        <v>368</v>
      </c>
      <c r="C314" t="s">
        <v>496</v>
      </c>
      <c r="D314" t="s">
        <v>46</v>
      </c>
      <c r="E314" t="s">
        <v>36</v>
      </c>
      <c r="F314" s="3">
        <v>12.04</v>
      </c>
      <c r="G314">
        <v>1178</v>
      </c>
      <c r="H314" s="3">
        <f t="shared" si="8"/>
        <v>14183.119999999999</v>
      </c>
      <c r="I314" s="3">
        <v>2127.4699999999998</v>
      </c>
      <c r="J314" s="3">
        <v>12055.65</v>
      </c>
      <c r="K314" t="s">
        <v>25</v>
      </c>
      <c r="L314" t="s">
        <v>19</v>
      </c>
      <c r="M314" t="s">
        <v>20</v>
      </c>
      <c r="N314" t="str">
        <f t="shared" si="9"/>
        <v>Apr</v>
      </c>
    </row>
    <row r="315" spans="1:14" x14ac:dyDescent="0.3">
      <c r="A315" t="s">
        <v>738</v>
      </c>
      <c r="B315" t="s">
        <v>290</v>
      </c>
      <c r="C315" t="s">
        <v>739</v>
      </c>
      <c r="D315" t="s">
        <v>31</v>
      </c>
      <c r="E315" t="s">
        <v>51</v>
      </c>
      <c r="F315" s="3">
        <v>8.82</v>
      </c>
      <c r="G315">
        <v>1569</v>
      </c>
      <c r="H315" s="3">
        <f t="shared" si="8"/>
        <v>13838.58</v>
      </c>
      <c r="I315" s="3">
        <v>0</v>
      </c>
      <c r="J315" s="3">
        <v>13838.58</v>
      </c>
      <c r="K315" t="s">
        <v>119</v>
      </c>
      <c r="L315" t="s">
        <v>26</v>
      </c>
      <c r="M315" t="s">
        <v>37</v>
      </c>
      <c r="N315" t="str">
        <f t="shared" si="9"/>
        <v>Feb</v>
      </c>
    </row>
    <row r="316" spans="1:14" x14ac:dyDescent="0.3">
      <c r="A316" t="s">
        <v>740</v>
      </c>
      <c r="B316" t="s">
        <v>741</v>
      </c>
      <c r="C316" t="s">
        <v>742</v>
      </c>
      <c r="D316" t="s">
        <v>50</v>
      </c>
      <c r="E316" t="s">
        <v>51</v>
      </c>
      <c r="F316" s="3">
        <v>13.31</v>
      </c>
      <c r="G316">
        <v>86</v>
      </c>
      <c r="H316" s="3">
        <f t="shared" si="8"/>
        <v>1144.6600000000001</v>
      </c>
      <c r="I316" s="3">
        <v>171.7</v>
      </c>
      <c r="J316" s="3">
        <v>972.96</v>
      </c>
      <c r="K316" t="s">
        <v>61</v>
      </c>
      <c r="L316" t="s">
        <v>79</v>
      </c>
      <c r="M316" t="s">
        <v>93</v>
      </c>
      <c r="N316" t="str">
        <f t="shared" si="9"/>
        <v>Feb</v>
      </c>
    </row>
    <row r="317" spans="1:14" x14ac:dyDescent="0.3">
      <c r="A317" t="s">
        <v>743</v>
      </c>
      <c r="B317" t="s">
        <v>316</v>
      </c>
      <c r="C317" t="s">
        <v>281</v>
      </c>
      <c r="D317" t="s">
        <v>50</v>
      </c>
      <c r="E317" t="s">
        <v>36</v>
      </c>
      <c r="F317" s="3">
        <v>12.44</v>
      </c>
      <c r="G317">
        <v>1224</v>
      </c>
      <c r="H317" s="3">
        <f t="shared" si="8"/>
        <v>15226.56</v>
      </c>
      <c r="I317" s="3">
        <v>1522.66</v>
      </c>
      <c r="J317" s="3">
        <v>13703.9</v>
      </c>
      <c r="K317" t="s">
        <v>25</v>
      </c>
      <c r="L317" t="s">
        <v>52</v>
      </c>
      <c r="M317" t="s">
        <v>62</v>
      </c>
      <c r="N317" t="str">
        <f t="shared" si="9"/>
        <v>Aug</v>
      </c>
    </row>
    <row r="318" spans="1:14" x14ac:dyDescent="0.3">
      <c r="A318" t="s">
        <v>744</v>
      </c>
      <c r="B318" t="s">
        <v>383</v>
      </c>
      <c r="C318" t="s">
        <v>211</v>
      </c>
      <c r="D318" t="s">
        <v>155</v>
      </c>
      <c r="E318" t="s">
        <v>36</v>
      </c>
      <c r="F318" s="3">
        <v>12.37</v>
      </c>
      <c r="G318">
        <v>1187</v>
      </c>
      <c r="H318" s="3">
        <f t="shared" si="8"/>
        <v>14683.189999999999</v>
      </c>
      <c r="I318" s="3">
        <v>1468.32</v>
      </c>
      <c r="J318" s="3">
        <v>13214.87</v>
      </c>
      <c r="K318" t="s">
        <v>25</v>
      </c>
      <c r="L318" t="s">
        <v>79</v>
      </c>
      <c r="M318" t="s">
        <v>20</v>
      </c>
      <c r="N318" t="str">
        <f t="shared" si="9"/>
        <v>Nov</v>
      </c>
    </row>
    <row r="319" spans="1:14" x14ac:dyDescent="0.3">
      <c r="A319" t="s">
        <v>745</v>
      </c>
      <c r="B319" t="s">
        <v>626</v>
      </c>
      <c r="C319" t="s">
        <v>665</v>
      </c>
      <c r="D319" t="s">
        <v>110</v>
      </c>
      <c r="E319" t="s">
        <v>17</v>
      </c>
      <c r="F319" s="3">
        <v>5.45</v>
      </c>
      <c r="G319">
        <v>1192</v>
      </c>
      <c r="H319" s="3">
        <f t="shared" si="8"/>
        <v>6496.4000000000005</v>
      </c>
      <c r="I319" s="3">
        <v>649.64</v>
      </c>
      <c r="J319" s="3">
        <v>5846.76</v>
      </c>
      <c r="K319" t="s">
        <v>25</v>
      </c>
      <c r="L319" t="s">
        <v>19</v>
      </c>
      <c r="M319" t="s">
        <v>62</v>
      </c>
      <c r="N319" t="str">
        <f t="shared" si="9"/>
        <v>Oct</v>
      </c>
    </row>
    <row r="320" spans="1:14" x14ac:dyDescent="0.3">
      <c r="A320" t="s">
        <v>746</v>
      </c>
      <c r="B320" t="s">
        <v>747</v>
      </c>
      <c r="C320" t="s">
        <v>458</v>
      </c>
      <c r="D320" t="s">
        <v>35</v>
      </c>
      <c r="E320" t="s">
        <v>17</v>
      </c>
      <c r="F320" s="3">
        <v>3.21</v>
      </c>
      <c r="G320">
        <v>1793</v>
      </c>
      <c r="H320" s="3">
        <f t="shared" si="8"/>
        <v>5755.53</v>
      </c>
      <c r="I320" s="3">
        <v>287.77999999999997</v>
      </c>
      <c r="J320" s="3">
        <v>5467.75</v>
      </c>
      <c r="K320" t="s">
        <v>67</v>
      </c>
      <c r="L320" t="s">
        <v>26</v>
      </c>
      <c r="M320" t="s">
        <v>27</v>
      </c>
      <c r="N320" t="str">
        <f t="shared" si="9"/>
        <v>Jul</v>
      </c>
    </row>
    <row r="321" spans="1:14" x14ac:dyDescent="0.3">
      <c r="A321" t="s">
        <v>748</v>
      </c>
      <c r="B321" t="s">
        <v>749</v>
      </c>
      <c r="C321" t="s">
        <v>122</v>
      </c>
      <c r="D321" t="s">
        <v>66</v>
      </c>
      <c r="E321" t="s">
        <v>32</v>
      </c>
      <c r="F321" s="3">
        <v>3.42</v>
      </c>
      <c r="G321">
        <v>1315</v>
      </c>
      <c r="H321" s="3">
        <f t="shared" si="8"/>
        <v>4497.3</v>
      </c>
      <c r="I321" s="3">
        <v>449.73</v>
      </c>
      <c r="J321" s="3">
        <v>4047.57</v>
      </c>
      <c r="K321" t="s">
        <v>119</v>
      </c>
      <c r="L321" t="s">
        <v>52</v>
      </c>
      <c r="M321" t="s">
        <v>37</v>
      </c>
      <c r="N321" t="str">
        <f t="shared" si="9"/>
        <v>Jun</v>
      </c>
    </row>
    <row r="322" spans="1:14" x14ac:dyDescent="0.3">
      <c r="A322" t="s">
        <v>750</v>
      </c>
      <c r="B322" t="s">
        <v>751</v>
      </c>
      <c r="C322" t="s">
        <v>56</v>
      </c>
      <c r="D322" t="s">
        <v>97</v>
      </c>
      <c r="E322" t="s">
        <v>32</v>
      </c>
      <c r="F322" s="3">
        <v>8.4600000000000009</v>
      </c>
      <c r="G322">
        <v>589</v>
      </c>
      <c r="H322" s="3">
        <f t="shared" si="8"/>
        <v>4982.9400000000005</v>
      </c>
      <c r="I322" s="3">
        <v>498.29</v>
      </c>
      <c r="J322" s="3">
        <v>4484.6499999999996</v>
      </c>
      <c r="K322" t="s">
        <v>119</v>
      </c>
      <c r="L322" t="s">
        <v>52</v>
      </c>
      <c r="M322" t="s">
        <v>53</v>
      </c>
      <c r="N322" t="str">
        <f t="shared" si="9"/>
        <v>Feb</v>
      </c>
    </row>
    <row r="323" spans="1:14" x14ac:dyDescent="0.3">
      <c r="A323" t="s">
        <v>752</v>
      </c>
      <c r="B323" t="s">
        <v>455</v>
      </c>
      <c r="C323" t="s">
        <v>91</v>
      </c>
      <c r="D323" t="s">
        <v>97</v>
      </c>
      <c r="E323" t="s">
        <v>17</v>
      </c>
      <c r="F323" s="3">
        <v>14.62</v>
      </c>
      <c r="G323">
        <v>1320</v>
      </c>
      <c r="H323" s="3">
        <f t="shared" ref="H323:H386" si="10">F323*G323</f>
        <v>19298.399999999998</v>
      </c>
      <c r="I323" s="3">
        <v>1929.84</v>
      </c>
      <c r="J323" s="3">
        <v>17368.560000000001</v>
      </c>
      <c r="K323" t="s">
        <v>18</v>
      </c>
      <c r="L323" t="s">
        <v>52</v>
      </c>
      <c r="M323" t="s">
        <v>62</v>
      </c>
      <c r="N323" t="str">
        <f t="shared" ref="N323:N386" si="11">TEXT(B323,"mmm")</f>
        <v>Oct</v>
      </c>
    </row>
    <row r="324" spans="1:14" x14ac:dyDescent="0.3">
      <c r="A324" t="s">
        <v>753</v>
      </c>
      <c r="B324" t="s">
        <v>754</v>
      </c>
      <c r="C324" t="s">
        <v>285</v>
      </c>
      <c r="D324" t="s">
        <v>114</v>
      </c>
      <c r="E324" t="s">
        <v>51</v>
      </c>
      <c r="F324" s="3">
        <v>5.86</v>
      </c>
      <c r="G324">
        <v>600</v>
      </c>
      <c r="H324" s="3">
        <f t="shared" si="10"/>
        <v>3516</v>
      </c>
      <c r="I324" s="3">
        <v>351.6</v>
      </c>
      <c r="J324" s="3">
        <v>3164.4</v>
      </c>
      <c r="K324" t="s">
        <v>25</v>
      </c>
      <c r="L324" t="s">
        <v>26</v>
      </c>
      <c r="M324" t="s">
        <v>20</v>
      </c>
      <c r="N324" t="str">
        <f t="shared" si="11"/>
        <v>Aug</v>
      </c>
    </row>
    <row r="325" spans="1:14" x14ac:dyDescent="0.3">
      <c r="A325" t="s">
        <v>755</v>
      </c>
      <c r="B325" t="s">
        <v>756</v>
      </c>
      <c r="C325" t="s">
        <v>34</v>
      </c>
      <c r="D325" t="s">
        <v>225</v>
      </c>
      <c r="E325" t="s">
        <v>24</v>
      </c>
      <c r="F325" s="3">
        <v>2.84</v>
      </c>
      <c r="G325">
        <v>1625</v>
      </c>
      <c r="H325" s="3">
        <f t="shared" si="10"/>
        <v>4615</v>
      </c>
      <c r="I325" s="3">
        <v>692.25</v>
      </c>
      <c r="J325" s="3">
        <v>3922.75</v>
      </c>
      <c r="K325" t="s">
        <v>18</v>
      </c>
      <c r="L325" t="s">
        <v>19</v>
      </c>
      <c r="M325" t="s">
        <v>62</v>
      </c>
      <c r="N325" t="str">
        <f t="shared" si="11"/>
        <v>Sep</v>
      </c>
    </row>
    <row r="326" spans="1:14" x14ac:dyDescent="0.3">
      <c r="A326" t="s">
        <v>757</v>
      </c>
      <c r="B326" t="s">
        <v>696</v>
      </c>
      <c r="C326" t="s">
        <v>338</v>
      </c>
      <c r="D326" t="s">
        <v>16</v>
      </c>
      <c r="E326" t="s">
        <v>32</v>
      </c>
      <c r="F326" s="3">
        <v>4.2300000000000004</v>
      </c>
      <c r="G326">
        <v>1430</v>
      </c>
      <c r="H326" s="3">
        <f t="shared" si="10"/>
        <v>6048.9000000000005</v>
      </c>
      <c r="I326" s="3">
        <v>302.44</v>
      </c>
      <c r="J326" s="3">
        <v>5746.46</v>
      </c>
      <c r="K326" t="s">
        <v>61</v>
      </c>
      <c r="L326" t="s">
        <v>26</v>
      </c>
      <c r="M326" t="s">
        <v>53</v>
      </c>
      <c r="N326" t="str">
        <f t="shared" si="11"/>
        <v>Aug</v>
      </c>
    </row>
    <row r="327" spans="1:14" x14ac:dyDescent="0.3">
      <c r="A327" t="s">
        <v>758</v>
      </c>
      <c r="B327" t="s">
        <v>759</v>
      </c>
      <c r="C327" t="s">
        <v>662</v>
      </c>
      <c r="D327" t="s">
        <v>41</v>
      </c>
      <c r="E327" t="s">
        <v>51</v>
      </c>
      <c r="F327" s="3">
        <v>2.61</v>
      </c>
      <c r="G327">
        <v>1380</v>
      </c>
      <c r="H327" s="3">
        <f t="shared" si="10"/>
        <v>3601.7999999999997</v>
      </c>
      <c r="I327" s="3">
        <v>180.09</v>
      </c>
      <c r="J327" s="3">
        <v>3421.71</v>
      </c>
      <c r="K327" t="s">
        <v>18</v>
      </c>
      <c r="L327" t="s">
        <v>52</v>
      </c>
      <c r="M327" t="s">
        <v>27</v>
      </c>
      <c r="N327" t="str">
        <f t="shared" si="11"/>
        <v>Feb</v>
      </c>
    </row>
    <row r="328" spans="1:14" x14ac:dyDescent="0.3">
      <c r="A328" t="s">
        <v>760</v>
      </c>
      <c r="B328" t="s">
        <v>263</v>
      </c>
      <c r="C328" t="s">
        <v>761</v>
      </c>
      <c r="D328" t="s">
        <v>50</v>
      </c>
      <c r="E328" t="s">
        <v>32</v>
      </c>
      <c r="F328" s="3">
        <v>10.35</v>
      </c>
      <c r="G328">
        <v>1461</v>
      </c>
      <c r="H328" s="3">
        <f t="shared" si="10"/>
        <v>15121.35</v>
      </c>
      <c r="I328" s="3">
        <v>0</v>
      </c>
      <c r="J328" s="3">
        <v>15121.35</v>
      </c>
      <c r="K328" t="s">
        <v>18</v>
      </c>
      <c r="L328" t="s">
        <v>26</v>
      </c>
      <c r="M328" t="s">
        <v>37</v>
      </c>
      <c r="N328" t="str">
        <f t="shared" si="11"/>
        <v>Jun</v>
      </c>
    </row>
    <row r="329" spans="1:14" x14ac:dyDescent="0.3">
      <c r="A329" t="s">
        <v>762</v>
      </c>
      <c r="B329" t="s">
        <v>763</v>
      </c>
      <c r="C329" t="s">
        <v>620</v>
      </c>
      <c r="D329" t="s">
        <v>107</v>
      </c>
      <c r="E329" t="s">
        <v>36</v>
      </c>
      <c r="F329" s="3">
        <v>8.51</v>
      </c>
      <c r="G329">
        <v>931</v>
      </c>
      <c r="H329" s="3">
        <f t="shared" si="10"/>
        <v>7922.8099999999995</v>
      </c>
      <c r="I329" s="3">
        <v>0</v>
      </c>
      <c r="J329" s="3">
        <v>7922.81</v>
      </c>
      <c r="K329" t="s">
        <v>18</v>
      </c>
      <c r="L329" t="s">
        <v>79</v>
      </c>
      <c r="M329" t="s">
        <v>93</v>
      </c>
      <c r="N329" t="str">
        <f t="shared" si="11"/>
        <v>Feb</v>
      </c>
    </row>
    <row r="330" spans="1:14" x14ac:dyDescent="0.3">
      <c r="A330" t="s">
        <v>764</v>
      </c>
      <c r="B330" t="s">
        <v>22</v>
      </c>
      <c r="C330" t="s">
        <v>765</v>
      </c>
      <c r="D330" t="s">
        <v>71</v>
      </c>
      <c r="E330" t="s">
        <v>32</v>
      </c>
      <c r="F330" s="3">
        <v>2.46</v>
      </c>
      <c r="G330">
        <v>804</v>
      </c>
      <c r="H330" s="3">
        <f t="shared" si="10"/>
        <v>1977.84</v>
      </c>
      <c r="I330" s="3">
        <v>0</v>
      </c>
      <c r="J330" s="3">
        <v>1977.84</v>
      </c>
      <c r="K330" t="s">
        <v>18</v>
      </c>
      <c r="L330" t="s">
        <v>19</v>
      </c>
      <c r="M330" t="s">
        <v>53</v>
      </c>
      <c r="N330" t="str">
        <f t="shared" si="11"/>
        <v>Aug</v>
      </c>
    </row>
    <row r="331" spans="1:14" x14ac:dyDescent="0.3">
      <c r="A331" t="s">
        <v>766</v>
      </c>
      <c r="B331" t="s">
        <v>767</v>
      </c>
      <c r="C331" t="s">
        <v>151</v>
      </c>
      <c r="D331" t="s">
        <v>71</v>
      </c>
      <c r="E331" t="s">
        <v>32</v>
      </c>
      <c r="F331" s="3">
        <v>11.94</v>
      </c>
      <c r="G331">
        <v>1562</v>
      </c>
      <c r="H331" s="3">
        <f t="shared" si="10"/>
        <v>18650.28</v>
      </c>
      <c r="I331" s="3">
        <v>932.51</v>
      </c>
      <c r="J331" s="3">
        <v>17717.77</v>
      </c>
      <c r="K331" t="s">
        <v>67</v>
      </c>
      <c r="L331" t="s">
        <v>19</v>
      </c>
      <c r="M331" t="s">
        <v>20</v>
      </c>
      <c r="N331" t="str">
        <f t="shared" si="11"/>
        <v>Jul</v>
      </c>
    </row>
    <row r="332" spans="1:14" x14ac:dyDescent="0.3">
      <c r="A332" t="s">
        <v>768</v>
      </c>
      <c r="B332" t="s">
        <v>450</v>
      </c>
      <c r="C332" t="s">
        <v>769</v>
      </c>
      <c r="D332" t="s">
        <v>92</v>
      </c>
      <c r="E332" t="s">
        <v>17</v>
      </c>
      <c r="F332" s="3">
        <v>3.72</v>
      </c>
      <c r="G332">
        <v>739</v>
      </c>
      <c r="H332" s="3">
        <f t="shared" si="10"/>
        <v>2749.08</v>
      </c>
      <c r="I332" s="3">
        <v>137.44999999999999</v>
      </c>
      <c r="J332" s="3">
        <v>2611.63</v>
      </c>
      <c r="K332" t="s">
        <v>67</v>
      </c>
      <c r="L332" t="s">
        <v>52</v>
      </c>
      <c r="M332" t="s">
        <v>20</v>
      </c>
      <c r="N332" t="str">
        <f t="shared" si="11"/>
        <v>Oct</v>
      </c>
    </row>
    <row r="333" spans="1:14" x14ac:dyDescent="0.3">
      <c r="A333" t="s">
        <v>770</v>
      </c>
      <c r="B333" t="s">
        <v>771</v>
      </c>
      <c r="C333" t="s">
        <v>772</v>
      </c>
      <c r="D333" t="s">
        <v>155</v>
      </c>
      <c r="E333" t="s">
        <v>24</v>
      </c>
      <c r="F333" s="3">
        <v>13.6</v>
      </c>
      <c r="G333">
        <v>306</v>
      </c>
      <c r="H333" s="3">
        <f t="shared" si="10"/>
        <v>4161.5999999999995</v>
      </c>
      <c r="I333" s="3">
        <v>0</v>
      </c>
      <c r="J333" s="3">
        <v>4161.6000000000004</v>
      </c>
      <c r="K333" t="s">
        <v>25</v>
      </c>
      <c r="L333" t="s">
        <v>52</v>
      </c>
      <c r="M333" t="s">
        <v>53</v>
      </c>
      <c r="N333" t="str">
        <f t="shared" si="11"/>
        <v>Dec</v>
      </c>
    </row>
    <row r="334" spans="1:14" x14ac:dyDescent="0.3">
      <c r="A334" t="s">
        <v>773</v>
      </c>
      <c r="B334" t="s">
        <v>754</v>
      </c>
      <c r="C334" t="s">
        <v>65</v>
      </c>
      <c r="D334" t="s">
        <v>71</v>
      </c>
      <c r="E334" t="s">
        <v>36</v>
      </c>
      <c r="F334" s="3">
        <v>5.24</v>
      </c>
      <c r="G334">
        <v>192</v>
      </c>
      <c r="H334" s="3">
        <f t="shared" si="10"/>
        <v>1006.08</v>
      </c>
      <c r="I334" s="3">
        <v>50.3</v>
      </c>
      <c r="J334" s="3">
        <v>955.78</v>
      </c>
      <c r="K334" t="s">
        <v>25</v>
      </c>
      <c r="L334" t="s">
        <v>79</v>
      </c>
      <c r="M334" t="s">
        <v>27</v>
      </c>
      <c r="N334" t="str">
        <f t="shared" si="11"/>
        <v>Aug</v>
      </c>
    </row>
    <row r="335" spans="1:14" x14ac:dyDescent="0.3">
      <c r="A335" t="s">
        <v>774</v>
      </c>
      <c r="B335" t="s">
        <v>238</v>
      </c>
      <c r="C335" t="s">
        <v>193</v>
      </c>
      <c r="D335" t="s">
        <v>46</v>
      </c>
      <c r="E335" t="s">
        <v>36</v>
      </c>
      <c r="F335" s="3">
        <v>8.49</v>
      </c>
      <c r="G335">
        <v>1063</v>
      </c>
      <c r="H335" s="3">
        <f t="shared" si="10"/>
        <v>9024.8700000000008</v>
      </c>
      <c r="I335" s="3">
        <v>451.24</v>
      </c>
      <c r="J335" s="3">
        <v>8573.6299999999992</v>
      </c>
      <c r="K335" t="s">
        <v>119</v>
      </c>
      <c r="L335" t="s">
        <v>79</v>
      </c>
      <c r="M335" t="s">
        <v>27</v>
      </c>
      <c r="N335" t="str">
        <f t="shared" si="11"/>
        <v>Jan</v>
      </c>
    </row>
    <row r="336" spans="1:14" x14ac:dyDescent="0.3">
      <c r="A336" t="s">
        <v>775</v>
      </c>
      <c r="B336" t="s">
        <v>776</v>
      </c>
      <c r="C336" t="s">
        <v>233</v>
      </c>
      <c r="D336" t="s">
        <v>114</v>
      </c>
      <c r="E336" t="s">
        <v>32</v>
      </c>
      <c r="F336" s="3">
        <v>3.02</v>
      </c>
      <c r="G336">
        <v>1043</v>
      </c>
      <c r="H336" s="3">
        <f t="shared" si="10"/>
        <v>3149.86</v>
      </c>
      <c r="I336" s="3">
        <v>0</v>
      </c>
      <c r="J336" s="3">
        <v>3149.86</v>
      </c>
      <c r="K336" t="s">
        <v>25</v>
      </c>
      <c r="L336" t="s">
        <v>19</v>
      </c>
      <c r="M336" t="s">
        <v>53</v>
      </c>
      <c r="N336" t="str">
        <f t="shared" si="11"/>
        <v>Jan</v>
      </c>
    </row>
    <row r="337" spans="1:14" x14ac:dyDescent="0.3">
      <c r="A337" t="s">
        <v>777</v>
      </c>
      <c r="B337" t="s">
        <v>778</v>
      </c>
      <c r="C337" t="s">
        <v>620</v>
      </c>
      <c r="D337" t="s">
        <v>66</v>
      </c>
      <c r="E337" t="s">
        <v>42</v>
      </c>
      <c r="F337" s="3">
        <v>7.18</v>
      </c>
      <c r="G337">
        <v>1138</v>
      </c>
      <c r="H337" s="3">
        <f t="shared" si="10"/>
        <v>8170.8399999999992</v>
      </c>
      <c r="I337" s="3">
        <v>408.54</v>
      </c>
      <c r="J337" s="3">
        <v>7762.3</v>
      </c>
      <c r="K337" t="s">
        <v>119</v>
      </c>
      <c r="L337" t="s">
        <v>19</v>
      </c>
      <c r="M337" t="s">
        <v>93</v>
      </c>
      <c r="N337" t="str">
        <f t="shared" si="11"/>
        <v>Jun</v>
      </c>
    </row>
    <row r="338" spans="1:14" x14ac:dyDescent="0.3">
      <c r="A338" t="s">
        <v>779</v>
      </c>
      <c r="B338" t="s">
        <v>780</v>
      </c>
      <c r="C338" t="s">
        <v>183</v>
      </c>
      <c r="D338" t="s">
        <v>16</v>
      </c>
      <c r="E338" t="s">
        <v>51</v>
      </c>
      <c r="F338" s="3">
        <v>4.41</v>
      </c>
      <c r="G338">
        <v>1909</v>
      </c>
      <c r="H338" s="3">
        <f t="shared" si="10"/>
        <v>8418.69</v>
      </c>
      <c r="I338" s="3">
        <v>0</v>
      </c>
      <c r="J338" s="3">
        <v>8418.69</v>
      </c>
      <c r="K338" t="s">
        <v>119</v>
      </c>
      <c r="L338" t="s">
        <v>79</v>
      </c>
      <c r="M338" t="s">
        <v>27</v>
      </c>
      <c r="N338" t="str">
        <f t="shared" si="11"/>
        <v>Oct</v>
      </c>
    </row>
    <row r="339" spans="1:14" x14ac:dyDescent="0.3">
      <c r="A339" t="s">
        <v>781</v>
      </c>
      <c r="B339" t="s">
        <v>782</v>
      </c>
      <c r="C339" t="s">
        <v>134</v>
      </c>
      <c r="D339" t="s">
        <v>78</v>
      </c>
      <c r="E339" t="s">
        <v>32</v>
      </c>
      <c r="F339" s="3">
        <v>10.97</v>
      </c>
      <c r="G339">
        <v>188</v>
      </c>
      <c r="H339" s="3">
        <f t="shared" si="10"/>
        <v>2062.36</v>
      </c>
      <c r="I339" s="3">
        <v>103.12</v>
      </c>
      <c r="J339" s="3">
        <v>1959.24</v>
      </c>
      <c r="K339" t="s">
        <v>61</v>
      </c>
      <c r="L339" t="s">
        <v>19</v>
      </c>
      <c r="M339" t="s">
        <v>53</v>
      </c>
      <c r="N339" t="str">
        <f t="shared" si="11"/>
        <v>Dec</v>
      </c>
    </row>
    <row r="340" spans="1:14" x14ac:dyDescent="0.3">
      <c r="A340" t="s">
        <v>783</v>
      </c>
      <c r="B340" t="s">
        <v>44</v>
      </c>
      <c r="C340" t="s">
        <v>784</v>
      </c>
      <c r="D340" t="s">
        <v>155</v>
      </c>
      <c r="E340" t="s">
        <v>36</v>
      </c>
      <c r="F340" s="3">
        <v>8.74</v>
      </c>
      <c r="G340">
        <v>820</v>
      </c>
      <c r="H340" s="3">
        <f t="shared" si="10"/>
        <v>7166.8</v>
      </c>
      <c r="I340" s="3">
        <v>0</v>
      </c>
      <c r="J340" s="3">
        <v>7166.8</v>
      </c>
      <c r="K340" t="s">
        <v>61</v>
      </c>
      <c r="L340" t="s">
        <v>52</v>
      </c>
      <c r="M340" t="s">
        <v>27</v>
      </c>
      <c r="N340" t="str">
        <f t="shared" si="11"/>
        <v>Feb</v>
      </c>
    </row>
    <row r="341" spans="1:14" x14ac:dyDescent="0.3">
      <c r="A341" t="s">
        <v>785</v>
      </c>
      <c r="B341" t="s">
        <v>208</v>
      </c>
      <c r="C341" t="s">
        <v>131</v>
      </c>
      <c r="D341" t="s">
        <v>50</v>
      </c>
      <c r="E341" t="s">
        <v>24</v>
      </c>
      <c r="F341" s="3">
        <v>13.98</v>
      </c>
      <c r="G341">
        <v>257</v>
      </c>
      <c r="H341" s="3">
        <f t="shared" si="10"/>
        <v>3592.86</v>
      </c>
      <c r="I341" s="3">
        <v>538.92999999999995</v>
      </c>
      <c r="J341" s="3">
        <v>3053.93</v>
      </c>
      <c r="K341" t="s">
        <v>25</v>
      </c>
      <c r="L341" t="s">
        <v>19</v>
      </c>
      <c r="M341" t="s">
        <v>53</v>
      </c>
      <c r="N341" t="str">
        <f t="shared" si="11"/>
        <v>May</v>
      </c>
    </row>
    <row r="342" spans="1:14" x14ac:dyDescent="0.3">
      <c r="A342" t="s">
        <v>786</v>
      </c>
      <c r="B342" t="s">
        <v>430</v>
      </c>
      <c r="C342" t="s">
        <v>267</v>
      </c>
      <c r="D342" t="s">
        <v>270</v>
      </c>
      <c r="E342" t="s">
        <v>24</v>
      </c>
      <c r="F342" s="3">
        <v>1.67</v>
      </c>
      <c r="G342">
        <v>301</v>
      </c>
      <c r="H342" s="3">
        <f t="shared" si="10"/>
        <v>502.66999999999996</v>
      </c>
      <c r="I342" s="3">
        <v>0</v>
      </c>
      <c r="J342" s="3">
        <v>502.67</v>
      </c>
      <c r="K342" t="s">
        <v>67</v>
      </c>
      <c r="L342" t="s">
        <v>52</v>
      </c>
      <c r="M342" t="s">
        <v>53</v>
      </c>
      <c r="N342" t="str">
        <f t="shared" si="11"/>
        <v>Dec</v>
      </c>
    </row>
    <row r="343" spans="1:14" x14ac:dyDescent="0.3">
      <c r="A343" t="s">
        <v>787</v>
      </c>
      <c r="B343" t="s">
        <v>788</v>
      </c>
      <c r="C343" t="s">
        <v>303</v>
      </c>
      <c r="D343" t="s">
        <v>35</v>
      </c>
      <c r="E343" t="s">
        <v>36</v>
      </c>
      <c r="F343" s="3">
        <v>6.52</v>
      </c>
      <c r="G343">
        <v>1555</v>
      </c>
      <c r="H343" s="3">
        <f t="shared" si="10"/>
        <v>10138.599999999999</v>
      </c>
      <c r="I343" s="3">
        <v>1013.86</v>
      </c>
      <c r="J343" s="3">
        <v>9124.74</v>
      </c>
      <c r="K343" t="s">
        <v>18</v>
      </c>
      <c r="L343" t="s">
        <v>19</v>
      </c>
      <c r="M343" t="s">
        <v>53</v>
      </c>
      <c r="N343" t="str">
        <f t="shared" si="11"/>
        <v>Sep</v>
      </c>
    </row>
    <row r="344" spans="1:14" x14ac:dyDescent="0.3">
      <c r="A344" t="s">
        <v>789</v>
      </c>
      <c r="B344" t="s">
        <v>754</v>
      </c>
      <c r="C344" t="s">
        <v>220</v>
      </c>
      <c r="D344" t="s">
        <v>135</v>
      </c>
      <c r="E344" t="s">
        <v>24</v>
      </c>
      <c r="F344" s="3">
        <v>5.05</v>
      </c>
      <c r="G344">
        <v>1200</v>
      </c>
      <c r="H344" s="3">
        <f t="shared" si="10"/>
        <v>6060</v>
      </c>
      <c r="I344" s="3">
        <v>0</v>
      </c>
      <c r="J344" s="3">
        <v>6060</v>
      </c>
      <c r="K344" t="s">
        <v>119</v>
      </c>
      <c r="L344" t="s">
        <v>52</v>
      </c>
      <c r="M344" t="s">
        <v>20</v>
      </c>
      <c r="N344" t="str">
        <f t="shared" si="11"/>
        <v>Aug</v>
      </c>
    </row>
    <row r="345" spans="1:14" x14ac:dyDescent="0.3">
      <c r="A345" t="s">
        <v>790</v>
      </c>
      <c r="B345" t="s">
        <v>791</v>
      </c>
      <c r="C345" t="s">
        <v>131</v>
      </c>
      <c r="D345" t="s">
        <v>114</v>
      </c>
      <c r="E345" t="s">
        <v>42</v>
      </c>
      <c r="F345" s="3">
        <v>3.75</v>
      </c>
      <c r="G345">
        <v>342</v>
      </c>
      <c r="H345" s="3">
        <f t="shared" si="10"/>
        <v>1282.5</v>
      </c>
      <c r="I345" s="3">
        <v>128.25</v>
      </c>
      <c r="J345" s="3">
        <v>1154.25</v>
      </c>
      <c r="K345" t="s">
        <v>18</v>
      </c>
      <c r="L345" t="s">
        <v>19</v>
      </c>
      <c r="M345" t="s">
        <v>62</v>
      </c>
      <c r="N345" t="str">
        <f t="shared" si="11"/>
        <v>Jul</v>
      </c>
    </row>
    <row r="346" spans="1:14" x14ac:dyDescent="0.3">
      <c r="A346" t="s">
        <v>792</v>
      </c>
      <c r="B346" t="s">
        <v>793</v>
      </c>
      <c r="C346" t="s">
        <v>91</v>
      </c>
      <c r="D346" t="s">
        <v>225</v>
      </c>
      <c r="E346" t="s">
        <v>24</v>
      </c>
      <c r="F346" s="3">
        <v>4.8</v>
      </c>
      <c r="G346">
        <v>986</v>
      </c>
      <c r="H346" s="3">
        <f t="shared" si="10"/>
        <v>4732.8</v>
      </c>
      <c r="I346" s="3">
        <v>473.28</v>
      </c>
      <c r="J346" s="3">
        <v>4259.5200000000004</v>
      </c>
      <c r="K346" t="s">
        <v>119</v>
      </c>
      <c r="L346" t="s">
        <v>26</v>
      </c>
      <c r="M346" t="s">
        <v>62</v>
      </c>
      <c r="N346" t="str">
        <f t="shared" si="11"/>
        <v>Sep</v>
      </c>
    </row>
    <row r="347" spans="1:14" x14ac:dyDescent="0.3">
      <c r="A347" t="s">
        <v>794</v>
      </c>
      <c r="B347" t="s">
        <v>341</v>
      </c>
      <c r="C347" t="s">
        <v>45</v>
      </c>
      <c r="D347" t="s">
        <v>78</v>
      </c>
      <c r="E347" t="s">
        <v>36</v>
      </c>
      <c r="F347" s="3">
        <v>5.84</v>
      </c>
      <c r="G347">
        <v>872</v>
      </c>
      <c r="H347" s="3">
        <f t="shared" si="10"/>
        <v>5092.4799999999996</v>
      </c>
      <c r="I347" s="3">
        <v>509.25</v>
      </c>
      <c r="J347" s="3">
        <v>4583.2299999999996</v>
      </c>
      <c r="K347" t="s">
        <v>61</v>
      </c>
      <c r="L347" t="s">
        <v>19</v>
      </c>
      <c r="M347" t="s">
        <v>20</v>
      </c>
      <c r="N347" t="str">
        <f t="shared" si="11"/>
        <v>Jan</v>
      </c>
    </row>
    <row r="348" spans="1:14" x14ac:dyDescent="0.3">
      <c r="A348" t="s">
        <v>795</v>
      </c>
      <c r="B348" t="s">
        <v>796</v>
      </c>
      <c r="C348" t="s">
        <v>281</v>
      </c>
      <c r="D348" t="s">
        <v>135</v>
      </c>
      <c r="E348" t="s">
        <v>17</v>
      </c>
      <c r="F348" s="3">
        <v>13.68</v>
      </c>
      <c r="G348">
        <v>387</v>
      </c>
      <c r="H348" s="3">
        <f t="shared" si="10"/>
        <v>5294.16</v>
      </c>
      <c r="I348" s="3">
        <v>264.70999999999998</v>
      </c>
      <c r="J348" s="3">
        <v>5029.45</v>
      </c>
      <c r="K348" t="s">
        <v>25</v>
      </c>
      <c r="L348" t="s">
        <v>19</v>
      </c>
      <c r="M348" t="s">
        <v>37</v>
      </c>
      <c r="N348" t="str">
        <f t="shared" si="11"/>
        <v>Jul</v>
      </c>
    </row>
    <row r="349" spans="1:14" x14ac:dyDescent="0.3">
      <c r="A349" t="s">
        <v>797</v>
      </c>
      <c r="B349" t="s">
        <v>48</v>
      </c>
      <c r="C349" t="s">
        <v>798</v>
      </c>
      <c r="D349" t="s">
        <v>46</v>
      </c>
      <c r="E349" t="s">
        <v>51</v>
      </c>
      <c r="F349" s="3">
        <v>5.92</v>
      </c>
      <c r="G349">
        <v>1152</v>
      </c>
      <c r="H349" s="3">
        <f t="shared" si="10"/>
        <v>6819.84</v>
      </c>
      <c r="I349" s="3">
        <v>1022.98</v>
      </c>
      <c r="J349" s="3">
        <v>5796.86</v>
      </c>
      <c r="K349" t="s">
        <v>18</v>
      </c>
      <c r="L349" t="s">
        <v>79</v>
      </c>
      <c r="M349" t="s">
        <v>62</v>
      </c>
      <c r="N349" t="str">
        <f t="shared" si="11"/>
        <v>Feb</v>
      </c>
    </row>
    <row r="350" spans="1:14" x14ac:dyDescent="0.3">
      <c r="A350" t="s">
        <v>799</v>
      </c>
      <c r="B350" t="s">
        <v>800</v>
      </c>
      <c r="C350" t="s">
        <v>146</v>
      </c>
      <c r="D350" t="s">
        <v>46</v>
      </c>
      <c r="E350" t="s">
        <v>17</v>
      </c>
      <c r="F350" s="3">
        <v>9.91</v>
      </c>
      <c r="G350">
        <v>970</v>
      </c>
      <c r="H350" s="3">
        <f t="shared" si="10"/>
        <v>9612.7000000000007</v>
      </c>
      <c r="I350" s="3">
        <v>961.27</v>
      </c>
      <c r="J350" s="3">
        <v>8651.43</v>
      </c>
      <c r="K350" t="s">
        <v>25</v>
      </c>
      <c r="L350" t="s">
        <v>52</v>
      </c>
      <c r="M350" t="s">
        <v>62</v>
      </c>
      <c r="N350" t="str">
        <f t="shared" si="11"/>
        <v>May</v>
      </c>
    </row>
    <row r="351" spans="1:14" x14ac:dyDescent="0.3">
      <c r="A351" t="s">
        <v>801</v>
      </c>
      <c r="B351" t="s">
        <v>802</v>
      </c>
      <c r="C351" t="s">
        <v>345</v>
      </c>
      <c r="D351" t="s">
        <v>50</v>
      </c>
      <c r="E351" t="s">
        <v>36</v>
      </c>
      <c r="F351" s="3">
        <v>1.59</v>
      </c>
      <c r="G351">
        <v>859</v>
      </c>
      <c r="H351" s="3">
        <f t="shared" si="10"/>
        <v>1365.8100000000002</v>
      </c>
      <c r="I351" s="3">
        <v>0</v>
      </c>
      <c r="J351" s="3">
        <v>1365.81</v>
      </c>
      <c r="K351" t="s">
        <v>67</v>
      </c>
      <c r="L351" t="s">
        <v>79</v>
      </c>
      <c r="M351" t="s">
        <v>27</v>
      </c>
      <c r="N351" t="str">
        <f t="shared" si="11"/>
        <v>Oct</v>
      </c>
    </row>
    <row r="352" spans="1:14" x14ac:dyDescent="0.3">
      <c r="A352" t="s">
        <v>803</v>
      </c>
      <c r="B352" t="s">
        <v>804</v>
      </c>
      <c r="C352" t="s">
        <v>769</v>
      </c>
      <c r="D352" t="s">
        <v>110</v>
      </c>
      <c r="E352" t="s">
        <v>24</v>
      </c>
      <c r="F352" s="3">
        <v>11.75</v>
      </c>
      <c r="G352">
        <v>790</v>
      </c>
      <c r="H352" s="3">
        <f t="shared" si="10"/>
        <v>9282.5</v>
      </c>
      <c r="I352" s="3">
        <v>928.25</v>
      </c>
      <c r="J352" s="3">
        <v>8354.25</v>
      </c>
      <c r="K352" t="s">
        <v>18</v>
      </c>
      <c r="L352" t="s">
        <v>26</v>
      </c>
      <c r="M352" t="s">
        <v>20</v>
      </c>
      <c r="N352" t="str">
        <f t="shared" si="11"/>
        <v>Dec</v>
      </c>
    </row>
    <row r="353" spans="1:14" x14ac:dyDescent="0.3">
      <c r="A353" t="s">
        <v>805</v>
      </c>
      <c r="B353" t="s">
        <v>124</v>
      </c>
      <c r="C353" t="s">
        <v>140</v>
      </c>
      <c r="D353" t="s">
        <v>114</v>
      </c>
      <c r="E353" t="s">
        <v>24</v>
      </c>
      <c r="F353" s="3">
        <v>14.63</v>
      </c>
      <c r="G353">
        <v>311</v>
      </c>
      <c r="H353" s="3">
        <f t="shared" si="10"/>
        <v>4549.93</v>
      </c>
      <c r="I353" s="3">
        <v>454.99</v>
      </c>
      <c r="J353" s="3">
        <v>4094.94</v>
      </c>
      <c r="K353" t="s">
        <v>18</v>
      </c>
      <c r="L353" t="s">
        <v>19</v>
      </c>
      <c r="M353" t="s">
        <v>62</v>
      </c>
      <c r="N353" t="str">
        <f t="shared" si="11"/>
        <v>May</v>
      </c>
    </row>
    <row r="354" spans="1:14" x14ac:dyDescent="0.3">
      <c r="A354" t="s">
        <v>806</v>
      </c>
      <c r="B354" t="s">
        <v>807</v>
      </c>
      <c r="C354" t="s">
        <v>647</v>
      </c>
      <c r="D354" t="s">
        <v>41</v>
      </c>
      <c r="E354" t="s">
        <v>32</v>
      </c>
      <c r="F354" s="3">
        <v>14.66</v>
      </c>
      <c r="G354">
        <v>193</v>
      </c>
      <c r="H354" s="3">
        <f t="shared" si="10"/>
        <v>2829.38</v>
      </c>
      <c r="I354" s="3">
        <v>0</v>
      </c>
      <c r="J354" s="3">
        <v>2829.38</v>
      </c>
      <c r="K354" t="s">
        <v>25</v>
      </c>
      <c r="L354" t="s">
        <v>26</v>
      </c>
      <c r="M354" t="s">
        <v>27</v>
      </c>
      <c r="N354" t="str">
        <f t="shared" si="11"/>
        <v>Sep</v>
      </c>
    </row>
    <row r="355" spans="1:14" x14ac:dyDescent="0.3">
      <c r="A355" t="s">
        <v>808</v>
      </c>
      <c r="B355" t="s">
        <v>568</v>
      </c>
      <c r="C355" t="s">
        <v>473</v>
      </c>
      <c r="D355" t="s">
        <v>107</v>
      </c>
      <c r="E355" t="s">
        <v>42</v>
      </c>
      <c r="F355" s="3">
        <v>2.34</v>
      </c>
      <c r="G355">
        <v>1376</v>
      </c>
      <c r="H355" s="3">
        <f t="shared" si="10"/>
        <v>3219.8399999999997</v>
      </c>
      <c r="I355" s="3">
        <v>160.99</v>
      </c>
      <c r="J355" s="3">
        <v>3058.85</v>
      </c>
      <c r="K355" t="s">
        <v>67</v>
      </c>
      <c r="L355" t="s">
        <v>79</v>
      </c>
      <c r="M355" t="s">
        <v>53</v>
      </c>
      <c r="N355" t="str">
        <f t="shared" si="11"/>
        <v>Jul</v>
      </c>
    </row>
    <row r="356" spans="1:14" x14ac:dyDescent="0.3">
      <c r="A356" t="s">
        <v>809</v>
      </c>
      <c r="B356" t="s">
        <v>680</v>
      </c>
      <c r="C356" t="s">
        <v>627</v>
      </c>
      <c r="D356" t="s">
        <v>110</v>
      </c>
      <c r="E356" t="s">
        <v>51</v>
      </c>
      <c r="F356" s="3">
        <v>7.61</v>
      </c>
      <c r="G356">
        <v>498</v>
      </c>
      <c r="H356" s="3">
        <f t="shared" si="10"/>
        <v>3789.78</v>
      </c>
      <c r="I356" s="3">
        <v>0</v>
      </c>
      <c r="J356" s="3">
        <v>3789.78</v>
      </c>
      <c r="K356" t="s">
        <v>67</v>
      </c>
      <c r="L356" t="s">
        <v>26</v>
      </c>
      <c r="M356" t="s">
        <v>20</v>
      </c>
      <c r="N356" t="str">
        <f t="shared" si="11"/>
        <v>Jun</v>
      </c>
    </row>
    <row r="357" spans="1:14" x14ac:dyDescent="0.3">
      <c r="A357" t="s">
        <v>810</v>
      </c>
      <c r="B357" t="s">
        <v>811</v>
      </c>
      <c r="C357" t="s">
        <v>476</v>
      </c>
      <c r="D357" t="s">
        <v>82</v>
      </c>
      <c r="E357" t="s">
        <v>36</v>
      </c>
      <c r="F357" s="3">
        <v>7.57</v>
      </c>
      <c r="G357">
        <v>663</v>
      </c>
      <c r="H357" s="3">
        <f t="shared" si="10"/>
        <v>5018.91</v>
      </c>
      <c r="I357" s="3">
        <v>752.84</v>
      </c>
      <c r="J357" s="3">
        <v>4266.07</v>
      </c>
      <c r="K357" t="s">
        <v>18</v>
      </c>
      <c r="L357" t="s">
        <v>79</v>
      </c>
      <c r="M357" t="s">
        <v>62</v>
      </c>
      <c r="N357" t="str">
        <f t="shared" si="11"/>
        <v>Feb</v>
      </c>
    </row>
    <row r="358" spans="1:14" x14ac:dyDescent="0.3">
      <c r="A358" t="s">
        <v>812</v>
      </c>
      <c r="B358" t="s">
        <v>813</v>
      </c>
      <c r="C358" t="s">
        <v>171</v>
      </c>
      <c r="D358" t="s">
        <v>60</v>
      </c>
      <c r="E358" t="s">
        <v>51</v>
      </c>
      <c r="F358" s="3">
        <v>13.01</v>
      </c>
      <c r="G358">
        <v>205</v>
      </c>
      <c r="H358" s="3">
        <f t="shared" si="10"/>
        <v>2667.05</v>
      </c>
      <c r="I358" s="3">
        <v>133.35</v>
      </c>
      <c r="J358" s="3">
        <v>2533.6999999999998</v>
      </c>
      <c r="K358" t="s">
        <v>61</v>
      </c>
      <c r="L358" t="s">
        <v>19</v>
      </c>
      <c r="M358" t="s">
        <v>62</v>
      </c>
      <c r="N358" t="str">
        <f t="shared" si="11"/>
        <v>Aug</v>
      </c>
    </row>
    <row r="359" spans="1:14" x14ac:dyDescent="0.3">
      <c r="A359" t="s">
        <v>814</v>
      </c>
      <c r="B359" t="s">
        <v>617</v>
      </c>
      <c r="C359" t="s">
        <v>324</v>
      </c>
      <c r="D359" t="s">
        <v>97</v>
      </c>
      <c r="E359" t="s">
        <v>17</v>
      </c>
      <c r="F359" s="3">
        <v>4.8499999999999996</v>
      </c>
      <c r="G359">
        <v>748</v>
      </c>
      <c r="H359" s="3">
        <f t="shared" si="10"/>
        <v>3627.7999999999997</v>
      </c>
      <c r="I359" s="3">
        <v>544.16999999999996</v>
      </c>
      <c r="J359" s="3">
        <v>3083.63</v>
      </c>
      <c r="K359" t="s">
        <v>25</v>
      </c>
      <c r="L359" t="s">
        <v>19</v>
      </c>
      <c r="M359" t="s">
        <v>27</v>
      </c>
      <c r="N359" t="str">
        <f t="shared" si="11"/>
        <v>Jun</v>
      </c>
    </row>
    <row r="360" spans="1:14" x14ac:dyDescent="0.3">
      <c r="A360" t="s">
        <v>815</v>
      </c>
      <c r="B360" t="s">
        <v>816</v>
      </c>
      <c r="C360" t="s">
        <v>710</v>
      </c>
      <c r="D360" t="s">
        <v>270</v>
      </c>
      <c r="E360" t="s">
        <v>24</v>
      </c>
      <c r="F360" s="3">
        <v>14.35</v>
      </c>
      <c r="G360">
        <v>1770</v>
      </c>
      <c r="H360" s="3">
        <f t="shared" si="10"/>
        <v>25399.5</v>
      </c>
      <c r="I360" s="3">
        <v>3809.92</v>
      </c>
      <c r="J360" s="3">
        <v>21589.58</v>
      </c>
      <c r="K360" t="s">
        <v>25</v>
      </c>
      <c r="L360" t="s">
        <v>26</v>
      </c>
      <c r="M360" t="s">
        <v>93</v>
      </c>
      <c r="N360" t="str">
        <f t="shared" si="11"/>
        <v>Jun</v>
      </c>
    </row>
    <row r="361" spans="1:14" x14ac:dyDescent="0.3">
      <c r="A361" t="s">
        <v>817</v>
      </c>
      <c r="B361" t="s">
        <v>121</v>
      </c>
      <c r="C361" t="s">
        <v>483</v>
      </c>
      <c r="D361" t="s">
        <v>71</v>
      </c>
      <c r="E361" t="s">
        <v>24</v>
      </c>
      <c r="F361" s="3">
        <v>1.66</v>
      </c>
      <c r="G361">
        <v>1720</v>
      </c>
      <c r="H361" s="3">
        <f t="shared" si="10"/>
        <v>2855.2</v>
      </c>
      <c r="I361" s="3">
        <v>142.76</v>
      </c>
      <c r="J361" s="3">
        <v>2712.44</v>
      </c>
      <c r="K361" t="s">
        <v>67</v>
      </c>
      <c r="L361" t="s">
        <v>26</v>
      </c>
      <c r="M361" t="s">
        <v>37</v>
      </c>
      <c r="N361" t="str">
        <f t="shared" si="11"/>
        <v>Aug</v>
      </c>
    </row>
    <row r="362" spans="1:14" x14ac:dyDescent="0.3">
      <c r="A362" t="s">
        <v>818</v>
      </c>
      <c r="B362" t="s">
        <v>796</v>
      </c>
      <c r="C362" t="s">
        <v>385</v>
      </c>
      <c r="D362" t="s">
        <v>97</v>
      </c>
      <c r="E362" t="s">
        <v>42</v>
      </c>
      <c r="F362" s="3">
        <v>9.41</v>
      </c>
      <c r="G362">
        <v>1898</v>
      </c>
      <c r="H362" s="3">
        <f t="shared" si="10"/>
        <v>17860.18</v>
      </c>
      <c r="I362" s="3">
        <v>0</v>
      </c>
      <c r="J362" s="3">
        <v>17860.18</v>
      </c>
      <c r="K362" t="s">
        <v>18</v>
      </c>
      <c r="L362" t="s">
        <v>19</v>
      </c>
      <c r="M362" t="s">
        <v>62</v>
      </c>
      <c r="N362" t="str">
        <f t="shared" si="11"/>
        <v>Jul</v>
      </c>
    </row>
    <row r="363" spans="1:14" x14ac:dyDescent="0.3">
      <c r="A363" t="s">
        <v>819</v>
      </c>
      <c r="B363" t="s">
        <v>361</v>
      </c>
      <c r="C363" t="s">
        <v>772</v>
      </c>
      <c r="D363" t="s">
        <v>71</v>
      </c>
      <c r="E363" t="s">
        <v>24</v>
      </c>
      <c r="F363" s="3">
        <v>13.72</v>
      </c>
      <c r="G363">
        <v>1718</v>
      </c>
      <c r="H363" s="3">
        <f t="shared" si="10"/>
        <v>23570.960000000003</v>
      </c>
      <c r="I363" s="3">
        <v>2357.1</v>
      </c>
      <c r="J363" s="3">
        <v>21213.86</v>
      </c>
      <c r="K363" t="s">
        <v>18</v>
      </c>
      <c r="L363" t="s">
        <v>19</v>
      </c>
      <c r="M363" t="s">
        <v>37</v>
      </c>
      <c r="N363" t="str">
        <f t="shared" si="11"/>
        <v>Nov</v>
      </c>
    </row>
    <row r="364" spans="1:14" x14ac:dyDescent="0.3">
      <c r="A364" t="s">
        <v>820</v>
      </c>
      <c r="B364" t="s">
        <v>553</v>
      </c>
      <c r="C364" t="s">
        <v>665</v>
      </c>
      <c r="D364" t="s">
        <v>107</v>
      </c>
      <c r="E364" t="s">
        <v>32</v>
      </c>
      <c r="F364" s="3">
        <v>12.59</v>
      </c>
      <c r="G364">
        <v>828</v>
      </c>
      <c r="H364" s="3">
        <f t="shared" si="10"/>
        <v>10424.52</v>
      </c>
      <c r="I364" s="3">
        <v>1563.68</v>
      </c>
      <c r="J364" s="3">
        <v>8860.84</v>
      </c>
      <c r="K364" t="s">
        <v>18</v>
      </c>
      <c r="L364" t="s">
        <v>52</v>
      </c>
      <c r="M364" t="s">
        <v>27</v>
      </c>
      <c r="N364" t="str">
        <f t="shared" si="11"/>
        <v>Jan</v>
      </c>
    </row>
    <row r="365" spans="1:14" x14ac:dyDescent="0.3">
      <c r="A365" t="s">
        <v>821</v>
      </c>
      <c r="B365" t="s">
        <v>822</v>
      </c>
      <c r="C365" t="s">
        <v>364</v>
      </c>
      <c r="D365" t="s">
        <v>41</v>
      </c>
      <c r="E365" t="s">
        <v>36</v>
      </c>
      <c r="F365" s="3">
        <v>13.76</v>
      </c>
      <c r="G365">
        <v>583</v>
      </c>
      <c r="H365" s="3">
        <f t="shared" si="10"/>
        <v>8022.08</v>
      </c>
      <c r="I365" s="3">
        <v>802.21</v>
      </c>
      <c r="J365" s="3">
        <v>7219.87</v>
      </c>
      <c r="K365" t="s">
        <v>119</v>
      </c>
      <c r="L365" t="s">
        <v>26</v>
      </c>
      <c r="M365" t="s">
        <v>93</v>
      </c>
      <c r="N365" t="str">
        <f t="shared" si="11"/>
        <v>Aug</v>
      </c>
    </row>
    <row r="366" spans="1:14" x14ac:dyDescent="0.3">
      <c r="A366" t="s">
        <v>823</v>
      </c>
      <c r="B366" t="s">
        <v>498</v>
      </c>
      <c r="C366" t="s">
        <v>342</v>
      </c>
      <c r="D366" t="s">
        <v>92</v>
      </c>
      <c r="E366" t="s">
        <v>36</v>
      </c>
      <c r="F366" s="3">
        <v>10.24</v>
      </c>
      <c r="G366">
        <v>1041</v>
      </c>
      <c r="H366" s="3">
        <f t="shared" si="10"/>
        <v>10659.84</v>
      </c>
      <c r="I366" s="3">
        <v>1598.98</v>
      </c>
      <c r="J366" s="3">
        <v>9060.86</v>
      </c>
      <c r="K366" t="s">
        <v>25</v>
      </c>
      <c r="L366" t="s">
        <v>52</v>
      </c>
      <c r="M366" t="s">
        <v>93</v>
      </c>
      <c r="N366" t="str">
        <f t="shared" si="11"/>
        <v>Nov</v>
      </c>
    </row>
    <row r="367" spans="1:14" x14ac:dyDescent="0.3">
      <c r="A367" t="s">
        <v>824</v>
      </c>
      <c r="B367" t="s">
        <v>825</v>
      </c>
      <c r="C367" t="s">
        <v>582</v>
      </c>
      <c r="D367" t="s">
        <v>66</v>
      </c>
      <c r="E367" t="s">
        <v>36</v>
      </c>
      <c r="F367" s="3">
        <v>7.16</v>
      </c>
      <c r="G367">
        <v>1336</v>
      </c>
      <c r="H367" s="3">
        <f t="shared" si="10"/>
        <v>9565.76</v>
      </c>
      <c r="I367" s="3">
        <v>478.29</v>
      </c>
      <c r="J367" s="3">
        <v>9087.4699999999993</v>
      </c>
      <c r="K367" t="s">
        <v>25</v>
      </c>
      <c r="L367" t="s">
        <v>19</v>
      </c>
      <c r="M367" t="s">
        <v>37</v>
      </c>
      <c r="N367" t="str">
        <f t="shared" si="11"/>
        <v>Feb</v>
      </c>
    </row>
    <row r="368" spans="1:14" x14ac:dyDescent="0.3">
      <c r="A368" t="s">
        <v>826</v>
      </c>
      <c r="B368" t="s">
        <v>827</v>
      </c>
      <c r="C368" t="s">
        <v>217</v>
      </c>
      <c r="D368" t="s">
        <v>31</v>
      </c>
      <c r="E368" t="s">
        <v>32</v>
      </c>
      <c r="F368" s="3">
        <v>6.14</v>
      </c>
      <c r="G368">
        <v>1178</v>
      </c>
      <c r="H368" s="3">
        <f t="shared" si="10"/>
        <v>7232.92</v>
      </c>
      <c r="I368" s="3">
        <v>723.29</v>
      </c>
      <c r="J368" s="3">
        <v>6509.63</v>
      </c>
      <c r="K368" t="s">
        <v>119</v>
      </c>
      <c r="L368" t="s">
        <v>79</v>
      </c>
      <c r="M368" t="s">
        <v>62</v>
      </c>
      <c r="N368" t="str">
        <f t="shared" si="11"/>
        <v>Jul</v>
      </c>
    </row>
    <row r="369" spans="1:14" x14ac:dyDescent="0.3">
      <c r="A369" t="s">
        <v>828</v>
      </c>
      <c r="B369" t="s">
        <v>238</v>
      </c>
      <c r="C369" t="s">
        <v>637</v>
      </c>
      <c r="D369" t="s">
        <v>92</v>
      </c>
      <c r="E369" t="s">
        <v>36</v>
      </c>
      <c r="F369" s="3">
        <v>1.9</v>
      </c>
      <c r="G369">
        <v>1680</v>
      </c>
      <c r="H369" s="3">
        <f t="shared" si="10"/>
        <v>3192</v>
      </c>
      <c r="I369" s="3">
        <v>319.2</v>
      </c>
      <c r="J369" s="3">
        <v>2872.8</v>
      </c>
      <c r="K369" t="s">
        <v>18</v>
      </c>
      <c r="L369" t="s">
        <v>52</v>
      </c>
      <c r="M369" t="s">
        <v>20</v>
      </c>
      <c r="N369" t="str">
        <f t="shared" si="11"/>
        <v>Jan</v>
      </c>
    </row>
    <row r="370" spans="1:14" x14ac:dyDescent="0.3">
      <c r="A370" t="s">
        <v>829</v>
      </c>
      <c r="B370" t="s">
        <v>827</v>
      </c>
      <c r="C370" t="s">
        <v>432</v>
      </c>
      <c r="D370" t="s">
        <v>107</v>
      </c>
      <c r="E370" t="s">
        <v>36</v>
      </c>
      <c r="F370" s="3">
        <v>14.65</v>
      </c>
      <c r="G370">
        <v>225</v>
      </c>
      <c r="H370" s="3">
        <f t="shared" si="10"/>
        <v>3296.25</v>
      </c>
      <c r="I370" s="3">
        <v>164.81</v>
      </c>
      <c r="J370" s="3">
        <v>3131.44</v>
      </c>
      <c r="K370" t="s">
        <v>67</v>
      </c>
      <c r="L370" t="s">
        <v>79</v>
      </c>
      <c r="M370" t="s">
        <v>20</v>
      </c>
      <c r="N370" t="str">
        <f t="shared" si="11"/>
        <v>Jul</v>
      </c>
    </row>
    <row r="371" spans="1:14" x14ac:dyDescent="0.3">
      <c r="A371" t="s">
        <v>830</v>
      </c>
      <c r="B371" t="s">
        <v>533</v>
      </c>
      <c r="C371" t="s">
        <v>831</v>
      </c>
      <c r="D371" t="s">
        <v>50</v>
      </c>
      <c r="E371" t="s">
        <v>42</v>
      </c>
      <c r="F371" s="3">
        <v>12.93</v>
      </c>
      <c r="G371">
        <v>1653</v>
      </c>
      <c r="H371" s="3">
        <f t="shared" si="10"/>
        <v>21373.29</v>
      </c>
      <c r="I371" s="3">
        <v>3205.99</v>
      </c>
      <c r="J371" s="3">
        <v>18167.3</v>
      </c>
      <c r="K371" t="s">
        <v>61</v>
      </c>
      <c r="L371" t="s">
        <v>26</v>
      </c>
      <c r="M371" t="s">
        <v>62</v>
      </c>
      <c r="N371" t="str">
        <f t="shared" si="11"/>
        <v>Jan</v>
      </c>
    </row>
    <row r="372" spans="1:14" x14ac:dyDescent="0.3">
      <c r="A372" t="s">
        <v>832</v>
      </c>
      <c r="B372" t="s">
        <v>124</v>
      </c>
      <c r="C372" t="s">
        <v>833</v>
      </c>
      <c r="D372" t="s">
        <v>110</v>
      </c>
      <c r="E372" t="s">
        <v>17</v>
      </c>
      <c r="F372" s="3">
        <v>10.92</v>
      </c>
      <c r="G372">
        <v>1891</v>
      </c>
      <c r="H372" s="3">
        <f t="shared" si="10"/>
        <v>20649.72</v>
      </c>
      <c r="I372" s="3">
        <v>0</v>
      </c>
      <c r="J372" s="3">
        <v>20649.72</v>
      </c>
      <c r="K372" t="s">
        <v>61</v>
      </c>
      <c r="L372" t="s">
        <v>26</v>
      </c>
      <c r="M372" t="s">
        <v>20</v>
      </c>
      <c r="N372" t="str">
        <f t="shared" si="11"/>
        <v>May</v>
      </c>
    </row>
    <row r="373" spans="1:14" x14ac:dyDescent="0.3">
      <c r="A373" t="s">
        <v>834</v>
      </c>
      <c r="B373" t="s">
        <v>835</v>
      </c>
      <c r="C373" t="s">
        <v>297</v>
      </c>
      <c r="D373" t="s">
        <v>31</v>
      </c>
      <c r="E373" t="s">
        <v>51</v>
      </c>
      <c r="F373" s="3">
        <v>3.87</v>
      </c>
      <c r="G373">
        <v>97</v>
      </c>
      <c r="H373" s="3">
        <f t="shared" si="10"/>
        <v>375.39</v>
      </c>
      <c r="I373" s="3">
        <v>0</v>
      </c>
      <c r="J373" s="3">
        <v>375.39</v>
      </c>
      <c r="K373" t="s">
        <v>18</v>
      </c>
      <c r="L373" t="s">
        <v>26</v>
      </c>
      <c r="M373" t="s">
        <v>20</v>
      </c>
      <c r="N373" t="str">
        <f t="shared" si="11"/>
        <v>Apr</v>
      </c>
    </row>
    <row r="374" spans="1:14" x14ac:dyDescent="0.3">
      <c r="A374" t="s">
        <v>836</v>
      </c>
      <c r="B374" t="s">
        <v>219</v>
      </c>
      <c r="C374" t="s">
        <v>106</v>
      </c>
      <c r="D374" t="s">
        <v>135</v>
      </c>
      <c r="E374" t="s">
        <v>32</v>
      </c>
      <c r="F374" s="3">
        <v>1.51</v>
      </c>
      <c r="G374">
        <v>1899</v>
      </c>
      <c r="H374" s="3">
        <f t="shared" si="10"/>
        <v>2867.4900000000002</v>
      </c>
      <c r="I374" s="3">
        <v>143.37</v>
      </c>
      <c r="J374" s="3">
        <v>2724.12</v>
      </c>
      <c r="K374" t="s">
        <v>67</v>
      </c>
      <c r="L374" t="s">
        <v>79</v>
      </c>
      <c r="M374" t="s">
        <v>27</v>
      </c>
      <c r="N374" t="str">
        <f t="shared" si="11"/>
        <v>Apr</v>
      </c>
    </row>
    <row r="375" spans="1:14" x14ac:dyDescent="0.3">
      <c r="A375" t="s">
        <v>837</v>
      </c>
      <c r="B375" t="s">
        <v>838</v>
      </c>
      <c r="C375" t="s">
        <v>402</v>
      </c>
      <c r="D375" t="s">
        <v>225</v>
      </c>
      <c r="E375" t="s">
        <v>24</v>
      </c>
      <c r="F375" s="3">
        <v>3.49</v>
      </c>
      <c r="G375">
        <v>1463</v>
      </c>
      <c r="H375" s="3">
        <f t="shared" si="10"/>
        <v>5105.87</v>
      </c>
      <c r="I375" s="3">
        <v>255.29</v>
      </c>
      <c r="J375" s="3">
        <v>4850.58</v>
      </c>
      <c r="K375" t="s">
        <v>18</v>
      </c>
      <c r="L375" t="s">
        <v>79</v>
      </c>
      <c r="M375" t="s">
        <v>93</v>
      </c>
      <c r="N375" t="str">
        <f t="shared" si="11"/>
        <v>Apr</v>
      </c>
    </row>
    <row r="376" spans="1:14" x14ac:dyDescent="0.3">
      <c r="A376" t="s">
        <v>839</v>
      </c>
      <c r="B376" t="s">
        <v>840</v>
      </c>
      <c r="C376" t="s">
        <v>721</v>
      </c>
      <c r="D376" t="s">
        <v>66</v>
      </c>
      <c r="E376" t="s">
        <v>42</v>
      </c>
      <c r="F376" s="3">
        <v>2.86</v>
      </c>
      <c r="G376">
        <v>638</v>
      </c>
      <c r="H376" s="3">
        <f t="shared" si="10"/>
        <v>1824.6799999999998</v>
      </c>
      <c r="I376" s="3">
        <v>182.47</v>
      </c>
      <c r="J376" s="3">
        <v>1642.21</v>
      </c>
      <c r="K376" t="s">
        <v>67</v>
      </c>
      <c r="L376" t="s">
        <v>26</v>
      </c>
      <c r="M376" t="s">
        <v>27</v>
      </c>
      <c r="N376" t="str">
        <f t="shared" si="11"/>
        <v>Jul</v>
      </c>
    </row>
    <row r="377" spans="1:14" x14ac:dyDescent="0.3">
      <c r="A377" t="s">
        <v>841</v>
      </c>
      <c r="B377" t="s">
        <v>248</v>
      </c>
      <c r="C377" t="s">
        <v>351</v>
      </c>
      <c r="D377" t="s">
        <v>114</v>
      </c>
      <c r="E377" t="s">
        <v>17</v>
      </c>
      <c r="F377" s="3">
        <v>5.78</v>
      </c>
      <c r="G377">
        <v>1468</v>
      </c>
      <c r="H377" s="3">
        <f t="shared" si="10"/>
        <v>8485.0400000000009</v>
      </c>
      <c r="I377" s="3">
        <v>848.5</v>
      </c>
      <c r="J377" s="3">
        <v>7636.54</v>
      </c>
      <c r="K377" t="s">
        <v>67</v>
      </c>
      <c r="L377" t="s">
        <v>26</v>
      </c>
      <c r="M377" t="s">
        <v>37</v>
      </c>
      <c r="N377" t="str">
        <f t="shared" si="11"/>
        <v>Aug</v>
      </c>
    </row>
    <row r="378" spans="1:14" x14ac:dyDescent="0.3">
      <c r="A378" t="s">
        <v>842</v>
      </c>
      <c r="B378" t="s">
        <v>293</v>
      </c>
      <c r="C378" t="s">
        <v>249</v>
      </c>
      <c r="D378" t="s">
        <v>46</v>
      </c>
      <c r="E378" t="s">
        <v>36</v>
      </c>
      <c r="F378" s="3">
        <v>3.9</v>
      </c>
      <c r="G378">
        <v>23</v>
      </c>
      <c r="H378" s="3">
        <f t="shared" si="10"/>
        <v>89.7</v>
      </c>
      <c r="I378" s="3">
        <v>13.46</v>
      </c>
      <c r="J378" s="3">
        <v>76.239999999999995</v>
      </c>
      <c r="K378" t="s">
        <v>25</v>
      </c>
      <c r="L378" t="s">
        <v>19</v>
      </c>
      <c r="M378" t="s">
        <v>62</v>
      </c>
      <c r="N378" t="str">
        <f t="shared" si="11"/>
        <v>Jun</v>
      </c>
    </row>
    <row r="379" spans="1:14" x14ac:dyDescent="0.3">
      <c r="A379" t="s">
        <v>843</v>
      </c>
      <c r="B379" t="s">
        <v>844</v>
      </c>
      <c r="C379" t="s">
        <v>637</v>
      </c>
      <c r="D379" t="s">
        <v>92</v>
      </c>
      <c r="E379" t="s">
        <v>36</v>
      </c>
      <c r="F379" s="3">
        <v>10.14</v>
      </c>
      <c r="G379">
        <v>233</v>
      </c>
      <c r="H379" s="3">
        <f t="shared" si="10"/>
        <v>2362.6200000000003</v>
      </c>
      <c r="I379" s="3">
        <v>354.39</v>
      </c>
      <c r="J379" s="3">
        <v>2008.23</v>
      </c>
      <c r="K379" t="s">
        <v>67</v>
      </c>
      <c r="L379" t="s">
        <v>79</v>
      </c>
      <c r="M379" t="s">
        <v>27</v>
      </c>
      <c r="N379" t="str">
        <f t="shared" si="11"/>
        <v>Nov</v>
      </c>
    </row>
    <row r="380" spans="1:14" x14ac:dyDescent="0.3">
      <c r="A380" t="s">
        <v>845</v>
      </c>
      <c r="B380" t="s">
        <v>763</v>
      </c>
      <c r="C380" t="s">
        <v>493</v>
      </c>
      <c r="D380" t="s">
        <v>41</v>
      </c>
      <c r="E380" t="s">
        <v>51</v>
      </c>
      <c r="F380" s="3">
        <v>3.77</v>
      </c>
      <c r="G380">
        <v>1833</v>
      </c>
      <c r="H380" s="3">
        <f t="shared" si="10"/>
        <v>6910.41</v>
      </c>
      <c r="I380" s="3">
        <v>0</v>
      </c>
      <c r="J380" s="3">
        <v>6910.41</v>
      </c>
      <c r="K380" t="s">
        <v>61</v>
      </c>
      <c r="L380" t="s">
        <v>52</v>
      </c>
      <c r="M380" t="s">
        <v>93</v>
      </c>
      <c r="N380" t="str">
        <f t="shared" si="11"/>
        <v>Feb</v>
      </c>
    </row>
    <row r="381" spans="1:14" x14ac:dyDescent="0.3">
      <c r="A381" t="s">
        <v>846</v>
      </c>
      <c r="B381" t="s">
        <v>142</v>
      </c>
      <c r="C381" t="s">
        <v>847</v>
      </c>
      <c r="D381" t="s">
        <v>50</v>
      </c>
      <c r="E381" t="s">
        <v>17</v>
      </c>
      <c r="F381" s="3">
        <v>2.42</v>
      </c>
      <c r="G381">
        <v>545</v>
      </c>
      <c r="H381" s="3">
        <f t="shared" si="10"/>
        <v>1318.8999999999999</v>
      </c>
      <c r="I381" s="3">
        <v>0</v>
      </c>
      <c r="J381" s="3">
        <v>1318.9</v>
      </c>
      <c r="K381" t="s">
        <v>18</v>
      </c>
      <c r="L381" t="s">
        <v>19</v>
      </c>
      <c r="M381" t="s">
        <v>37</v>
      </c>
      <c r="N381" t="str">
        <f t="shared" si="11"/>
        <v>May</v>
      </c>
    </row>
    <row r="382" spans="1:14" x14ac:dyDescent="0.3">
      <c r="A382" t="s">
        <v>848</v>
      </c>
      <c r="B382" t="s">
        <v>316</v>
      </c>
      <c r="C382" t="s">
        <v>249</v>
      </c>
      <c r="D382" t="s">
        <v>78</v>
      </c>
      <c r="E382" t="s">
        <v>36</v>
      </c>
      <c r="F382" s="3">
        <v>13.44</v>
      </c>
      <c r="G382">
        <v>1029</v>
      </c>
      <c r="H382" s="3">
        <f t="shared" si="10"/>
        <v>13829.76</v>
      </c>
      <c r="I382" s="3">
        <v>2074.46</v>
      </c>
      <c r="J382" s="3">
        <v>11755.3</v>
      </c>
      <c r="K382" t="s">
        <v>61</v>
      </c>
      <c r="L382" t="s">
        <v>52</v>
      </c>
      <c r="M382" t="s">
        <v>93</v>
      </c>
      <c r="N382" t="str">
        <f t="shared" si="11"/>
        <v>Aug</v>
      </c>
    </row>
    <row r="383" spans="1:14" x14ac:dyDescent="0.3">
      <c r="A383" t="s">
        <v>849</v>
      </c>
      <c r="B383" t="s">
        <v>274</v>
      </c>
      <c r="C383" t="s">
        <v>113</v>
      </c>
      <c r="D383" t="s">
        <v>50</v>
      </c>
      <c r="E383" t="s">
        <v>36</v>
      </c>
      <c r="F383" s="3">
        <v>7.59</v>
      </c>
      <c r="G383">
        <v>1656</v>
      </c>
      <c r="H383" s="3">
        <f t="shared" si="10"/>
        <v>12569.039999999999</v>
      </c>
      <c r="I383" s="3">
        <v>0</v>
      </c>
      <c r="J383" s="3">
        <v>12569.04</v>
      </c>
      <c r="K383" t="s">
        <v>61</v>
      </c>
      <c r="L383" t="s">
        <v>19</v>
      </c>
      <c r="M383" t="s">
        <v>53</v>
      </c>
      <c r="N383" t="str">
        <f t="shared" si="11"/>
        <v>Sep</v>
      </c>
    </row>
    <row r="384" spans="1:14" x14ac:dyDescent="0.3">
      <c r="A384" t="s">
        <v>850</v>
      </c>
      <c r="B384" t="s">
        <v>851</v>
      </c>
      <c r="C384" t="s">
        <v>483</v>
      </c>
      <c r="D384" t="s">
        <v>97</v>
      </c>
      <c r="E384" t="s">
        <v>51</v>
      </c>
      <c r="F384" s="3">
        <v>3.8</v>
      </c>
      <c r="G384">
        <v>788</v>
      </c>
      <c r="H384" s="3">
        <f t="shared" si="10"/>
        <v>2994.3999999999996</v>
      </c>
      <c r="I384" s="3">
        <v>149.72</v>
      </c>
      <c r="J384" s="3">
        <v>2844.68</v>
      </c>
      <c r="K384" t="s">
        <v>18</v>
      </c>
      <c r="L384" t="s">
        <v>19</v>
      </c>
      <c r="M384" t="s">
        <v>53</v>
      </c>
      <c r="N384" t="str">
        <f t="shared" si="11"/>
        <v>May</v>
      </c>
    </row>
    <row r="385" spans="1:14" x14ac:dyDescent="0.3">
      <c r="A385" t="s">
        <v>852</v>
      </c>
      <c r="B385" t="s">
        <v>853</v>
      </c>
      <c r="C385" t="s">
        <v>189</v>
      </c>
      <c r="D385" t="s">
        <v>114</v>
      </c>
      <c r="E385" t="s">
        <v>17</v>
      </c>
      <c r="F385" s="3">
        <v>1.92</v>
      </c>
      <c r="G385">
        <v>1950</v>
      </c>
      <c r="H385" s="3">
        <f t="shared" si="10"/>
        <v>3744</v>
      </c>
      <c r="I385" s="3">
        <v>187.2</v>
      </c>
      <c r="J385" s="3">
        <v>3556.8</v>
      </c>
      <c r="K385" t="s">
        <v>25</v>
      </c>
      <c r="L385" t="s">
        <v>52</v>
      </c>
      <c r="M385" t="s">
        <v>62</v>
      </c>
      <c r="N385" t="str">
        <f t="shared" si="11"/>
        <v>Nov</v>
      </c>
    </row>
    <row r="386" spans="1:14" x14ac:dyDescent="0.3">
      <c r="A386" t="s">
        <v>854</v>
      </c>
      <c r="B386" t="s">
        <v>776</v>
      </c>
      <c r="C386" t="s">
        <v>592</v>
      </c>
      <c r="D386" t="s">
        <v>110</v>
      </c>
      <c r="E386" t="s">
        <v>36</v>
      </c>
      <c r="F386" s="3">
        <v>14.65</v>
      </c>
      <c r="G386">
        <v>858</v>
      </c>
      <c r="H386" s="3">
        <f t="shared" si="10"/>
        <v>12569.7</v>
      </c>
      <c r="I386" s="3">
        <v>1256.97</v>
      </c>
      <c r="J386" s="3">
        <v>11312.73</v>
      </c>
      <c r="K386" t="s">
        <v>61</v>
      </c>
      <c r="L386" t="s">
        <v>79</v>
      </c>
      <c r="M386" t="s">
        <v>62</v>
      </c>
      <c r="N386" t="str">
        <f t="shared" si="11"/>
        <v>Jan</v>
      </c>
    </row>
    <row r="387" spans="1:14" x14ac:dyDescent="0.3">
      <c r="A387" t="s">
        <v>855</v>
      </c>
      <c r="B387" t="s">
        <v>39</v>
      </c>
      <c r="C387" t="s">
        <v>425</v>
      </c>
      <c r="D387" t="s">
        <v>66</v>
      </c>
      <c r="E387" t="s">
        <v>42</v>
      </c>
      <c r="F387" s="3">
        <v>8.92</v>
      </c>
      <c r="G387">
        <v>1025</v>
      </c>
      <c r="H387" s="3">
        <f t="shared" ref="H387:H450" si="12">F387*G387</f>
        <v>9143</v>
      </c>
      <c r="I387" s="3">
        <v>457.15</v>
      </c>
      <c r="J387" s="3">
        <v>8685.85</v>
      </c>
      <c r="K387" t="s">
        <v>18</v>
      </c>
      <c r="L387" t="s">
        <v>79</v>
      </c>
      <c r="M387" t="s">
        <v>93</v>
      </c>
      <c r="N387" t="str">
        <f t="shared" ref="N387:N450" si="13">TEXT(B387,"mmm")</f>
        <v>Feb</v>
      </c>
    </row>
    <row r="388" spans="1:14" x14ac:dyDescent="0.3">
      <c r="A388" t="s">
        <v>856</v>
      </c>
      <c r="B388" t="s">
        <v>822</v>
      </c>
      <c r="C388" t="s">
        <v>443</v>
      </c>
      <c r="D388" t="s">
        <v>46</v>
      </c>
      <c r="E388" t="s">
        <v>17</v>
      </c>
      <c r="F388" s="3">
        <v>9.94</v>
      </c>
      <c r="G388">
        <v>1003</v>
      </c>
      <c r="H388" s="3">
        <f t="shared" si="12"/>
        <v>9969.82</v>
      </c>
      <c r="I388" s="3">
        <v>498.49</v>
      </c>
      <c r="J388" s="3">
        <v>9471.33</v>
      </c>
      <c r="K388" t="s">
        <v>18</v>
      </c>
      <c r="L388" t="s">
        <v>19</v>
      </c>
      <c r="M388" t="s">
        <v>62</v>
      </c>
      <c r="N388" t="str">
        <f t="shared" si="13"/>
        <v>Aug</v>
      </c>
    </row>
    <row r="389" spans="1:14" x14ac:dyDescent="0.3">
      <c r="A389" t="s">
        <v>857</v>
      </c>
      <c r="B389" t="s">
        <v>858</v>
      </c>
      <c r="C389" t="s">
        <v>351</v>
      </c>
      <c r="D389" t="s">
        <v>46</v>
      </c>
      <c r="E389" t="s">
        <v>24</v>
      </c>
      <c r="F389" s="3">
        <v>7.89</v>
      </c>
      <c r="G389">
        <v>256</v>
      </c>
      <c r="H389" s="3">
        <f t="shared" si="12"/>
        <v>2019.84</v>
      </c>
      <c r="I389" s="3">
        <v>201.98</v>
      </c>
      <c r="J389" s="3">
        <v>1817.86</v>
      </c>
      <c r="K389" t="s">
        <v>119</v>
      </c>
      <c r="L389" t="s">
        <v>52</v>
      </c>
      <c r="M389" t="s">
        <v>37</v>
      </c>
      <c r="N389" t="str">
        <f t="shared" si="13"/>
        <v>Mar</v>
      </c>
    </row>
    <row r="390" spans="1:14" x14ac:dyDescent="0.3">
      <c r="A390" t="s">
        <v>859</v>
      </c>
      <c r="B390" t="s">
        <v>639</v>
      </c>
      <c r="C390" t="s">
        <v>397</v>
      </c>
      <c r="D390" t="s">
        <v>97</v>
      </c>
      <c r="E390" t="s">
        <v>17</v>
      </c>
      <c r="F390" s="3">
        <v>8.85</v>
      </c>
      <c r="G390">
        <v>398</v>
      </c>
      <c r="H390" s="3">
        <f t="shared" si="12"/>
        <v>3522.2999999999997</v>
      </c>
      <c r="I390" s="3">
        <v>352.23</v>
      </c>
      <c r="J390" s="3">
        <v>3170.07</v>
      </c>
      <c r="K390" t="s">
        <v>119</v>
      </c>
      <c r="L390" t="s">
        <v>79</v>
      </c>
      <c r="M390" t="s">
        <v>62</v>
      </c>
      <c r="N390" t="str">
        <f t="shared" si="13"/>
        <v>Dec</v>
      </c>
    </row>
    <row r="391" spans="1:14" x14ac:dyDescent="0.3">
      <c r="A391" t="s">
        <v>860</v>
      </c>
      <c r="B391" t="s">
        <v>206</v>
      </c>
      <c r="C391" t="s">
        <v>49</v>
      </c>
      <c r="D391" t="s">
        <v>35</v>
      </c>
      <c r="E391" t="s">
        <v>32</v>
      </c>
      <c r="F391" s="3">
        <v>7.78</v>
      </c>
      <c r="G391">
        <v>483</v>
      </c>
      <c r="H391" s="3">
        <f t="shared" si="12"/>
        <v>3757.7400000000002</v>
      </c>
      <c r="I391" s="3">
        <v>375.77</v>
      </c>
      <c r="J391" s="3">
        <v>3381.97</v>
      </c>
      <c r="K391" t="s">
        <v>25</v>
      </c>
      <c r="L391" t="s">
        <v>19</v>
      </c>
      <c r="M391" t="s">
        <v>62</v>
      </c>
      <c r="N391" t="str">
        <f t="shared" si="13"/>
        <v>Aug</v>
      </c>
    </row>
    <row r="392" spans="1:14" x14ac:dyDescent="0.3">
      <c r="A392" t="s">
        <v>861</v>
      </c>
      <c r="B392" t="s">
        <v>862</v>
      </c>
      <c r="C392" t="s">
        <v>863</v>
      </c>
      <c r="D392" t="s">
        <v>82</v>
      </c>
      <c r="E392" t="s">
        <v>24</v>
      </c>
      <c r="F392" s="3">
        <v>10.52</v>
      </c>
      <c r="G392">
        <v>1675</v>
      </c>
      <c r="H392" s="3">
        <f t="shared" si="12"/>
        <v>17621</v>
      </c>
      <c r="I392" s="3">
        <v>2643.15</v>
      </c>
      <c r="J392" s="3">
        <v>14977.85</v>
      </c>
      <c r="K392" t="s">
        <v>25</v>
      </c>
      <c r="L392" t="s">
        <v>26</v>
      </c>
      <c r="M392" t="s">
        <v>20</v>
      </c>
      <c r="N392" t="str">
        <f t="shared" si="13"/>
        <v>Dec</v>
      </c>
    </row>
    <row r="393" spans="1:14" x14ac:dyDescent="0.3">
      <c r="A393" t="s">
        <v>864</v>
      </c>
      <c r="B393" t="s">
        <v>865</v>
      </c>
      <c r="C393" t="s">
        <v>128</v>
      </c>
      <c r="D393" t="s">
        <v>135</v>
      </c>
      <c r="E393" t="s">
        <v>32</v>
      </c>
      <c r="F393" s="3">
        <v>14.54</v>
      </c>
      <c r="G393">
        <v>1427</v>
      </c>
      <c r="H393" s="3">
        <f t="shared" si="12"/>
        <v>20748.579999999998</v>
      </c>
      <c r="I393" s="3">
        <v>3112.29</v>
      </c>
      <c r="J393" s="3">
        <v>17636.29</v>
      </c>
      <c r="K393" t="s">
        <v>25</v>
      </c>
      <c r="L393" t="s">
        <v>26</v>
      </c>
      <c r="M393" t="s">
        <v>37</v>
      </c>
      <c r="N393" t="str">
        <f t="shared" si="13"/>
        <v>Feb</v>
      </c>
    </row>
    <row r="394" spans="1:14" x14ac:dyDescent="0.3">
      <c r="A394" t="s">
        <v>866</v>
      </c>
      <c r="B394" t="s">
        <v>816</v>
      </c>
      <c r="C394" t="s">
        <v>349</v>
      </c>
      <c r="D394" t="s">
        <v>66</v>
      </c>
      <c r="E394" t="s">
        <v>17</v>
      </c>
      <c r="F394" s="3">
        <v>1.97</v>
      </c>
      <c r="G394">
        <v>1189</v>
      </c>
      <c r="H394" s="3">
        <f t="shared" si="12"/>
        <v>2342.33</v>
      </c>
      <c r="I394" s="3">
        <v>117.12</v>
      </c>
      <c r="J394" s="3">
        <v>2225.21</v>
      </c>
      <c r="K394" t="s">
        <v>18</v>
      </c>
      <c r="L394" t="s">
        <v>52</v>
      </c>
      <c r="M394" t="s">
        <v>62</v>
      </c>
      <c r="N394" t="str">
        <f t="shared" si="13"/>
        <v>Jun</v>
      </c>
    </row>
    <row r="395" spans="1:14" x14ac:dyDescent="0.3">
      <c r="A395" t="s">
        <v>867</v>
      </c>
      <c r="B395" t="s">
        <v>235</v>
      </c>
      <c r="C395" t="s">
        <v>285</v>
      </c>
      <c r="D395" t="s">
        <v>155</v>
      </c>
      <c r="E395" t="s">
        <v>36</v>
      </c>
      <c r="F395" s="3">
        <v>2.08</v>
      </c>
      <c r="G395">
        <v>180</v>
      </c>
      <c r="H395" s="3">
        <f t="shared" si="12"/>
        <v>374.40000000000003</v>
      </c>
      <c r="I395" s="3">
        <v>56.16</v>
      </c>
      <c r="J395" s="3">
        <v>318.24</v>
      </c>
      <c r="K395" t="s">
        <v>67</v>
      </c>
      <c r="L395" t="s">
        <v>26</v>
      </c>
      <c r="M395" t="s">
        <v>20</v>
      </c>
      <c r="N395" t="str">
        <f t="shared" si="13"/>
        <v>Mar</v>
      </c>
    </row>
    <row r="396" spans="1:14" x14ac:dyDescent="0.3">
      <c r="A396" t="s">
        <v>868</v>
      </c>
      <c r="B396" t="s">
        <v>869</v>
      </c>
      <c r="C396" t="s">
        <v>637</v>
      </c>
      <c r="D396" t="s">
        <v>97</v>
      </c>
      <c r="E396" t="s">
        <v>24</v>
      </c>
      <c r="F396" s="3">
        <v>6.74</v>
      </c>
      <c r="G396">
        <v>833</v>
      </c>
      <c r="H396" s="3">
        <f t="shared" si="12"/>
        <v>5614.42</v>
      </c>
      <c r="I396" s="3">
        <v>561.44000000000005</v>
      </c>
      <c r="J396" s="3">
        <v>5052.9799999999996</v>
      </c>
      <c r="K396" t="s">
        <v>61</v>
      </c>
      <c r="L396" t="s">
        <v>52</v>
      </c>
      <c r="M396" t="s">
        <v>93</v>
      </c>
      <c r="N396" t="str">
        <f t="shared" si="13"/>
        <v>May</v>
      </c>
    </row>
    <row r="397" spans="1:14" x14ac:dyDescent="0.3">
      <c r="A397" t="s">
        <v>870</v>
      </c>
      <c r="B397" t="s">
        <v>871</v>
      </c>
      <c r="C397" t="s">
        <v>314</v>
      </c>
      <c r="D397" t="s">
        <v>107</v>
      </c>
      <c r="E397" t="s">
        <v>42</v>
      </c>
      <c r="F397" s="3">
        <v>12.05</v>
      </c>
      <c r="G397">
        <v>250</v>
      </c>
      <c r="H397" s="3">
        <f t="shared" si="12"/>
        <v>3012.5</v>
      </c>
      <c r="I397" s="3">
        <v>451.88</v>
      </c>
      <c r="J397" s="3">
        <v>2560.62</v>
      </c>
      <c r="K397" t="s">
        <v>67</v>
      </c>
      <c r="L397" t="s">
        <v>26</v>
      </c>
      <c r="M397" t="s">
        <v>20</v>
      </c>
      <c r="N397" t="str">
        <f t="shared" si="13"/>
        <v>Dec</v>
      </c>
    </row>
    <row r="398" spans="1:14" x14ac:dyDescent="0.3">
      <c r="A398" t="s">
        <v>872</v>
      </c>
      <c r="B398" t="s">
        <v>873</v>
      </c>
      <c r="C398" t="s">
        <v>874</v>
      </c>
      <c r="D398" t="s">
        <v>82</v>
      </c>
      <c r="E398" t="s">
        <v>24</v>
      </c>
      <c r="F398" s="3">
        <v>9.1</v>
      </c>
      <c r="G398">
        <v>226</v>
      </c>
      <c r="H398" s="3">
        <f t="shared" si="12"/>
        <v>2056.6</v>
      </c>
      <c r="I398" s="3">
        <v>205.66</v>
      </c>
      <c r="J398" s="3">
        <v>1850.94</v>
      </c>
      <c r="K398" t="s">
        <v>25</v>
      </c>
      <c r="L398" t="s">
        <v>79</v>
      </c>
      <c r="M398" t="s">
        <v>37</v>
      </c>
      <c r="N398" t="str">
        <f t="shared" si="13"/>
        <v>Oct</v>
      </c>
    </row>
    <row r="399" spans="1:14" x14ac:dyDescent="0.3">
      <c r="A399" t="s">
        <v>875</v>
      </c>
      <c r="B399" t="s">
        <v>142</v>
      </c>
      <c r="C399" t="s">
        <v>335</v>
      </c>
      <c r="D399" t="s">
        <v>114</v>
      </c>
      <c r="E399" t="s">
        <v>42</v>
      </c>
      <c r="F399" s="3">
        <v>9.7200000000000006</v>
      </c>
      <c r="G399">
        <v>96</v>
      </c>
      <c r="H399" s="3">
        <f t="shared" si="12"/>
        <v>933.12000000000012</v>
      </c>
      <c r="I399" s="3">
        <v>46.66</v>
      </c>
      <c r="J399" s="3">
        <v>886.46</v>
      </c>
      <c r="K399" t="s">
        <v>61</v>
      </c>
      <c r="L399" t="s">
        <v>52</v>
      </c>
      <c r="M399" t="s">
        <v>62</v>
      </c>
      <c r="N399" t="str">
        <f t="shared" si="13"/>
        <v>May</v>
      </c>
    </row>
    <row r="400" spans="1:14" x14ac:dyDescent="0.3">
      <c r="A400" t="s">
        <v>876</v>
      </c>
      <c r="B400" t="s">
        <v>424</v>
      </c>
      <c r="C400" t="s">
        <v>236</v>
      </c>
      <c r="D400" t="s">
        <v>66</v>
      </c>
      <c r="E400" t="s">
        <v>24</v>
      </c>
      <c r="F400" s="3">
        <v>6.84</v>
      </c>
      <c r="G400">
        <v>1820</v>
      </c>
      <c r="H400" s="3">
        <f t="shared" si="12"/>
        <v>12448.8</v>
      </c>
      <c r="I400" s="3">
        <v>1244.8800000000001</v>
      </c>
      <c r="J400" s="3">
        <v>11203.92</v>
      </c>
      <c r="K400" t="s">
        <v>67</v>
      </c>
      <c r="L400" t="s">
        <v>19</v>
      </c>
      <c r="M400" t="s">
        <v>27</v>
      </c>
      <c r="N400" t="str">
        <f t="shared" si="13"/>
        <v>Nov</v>
      </c>
    </row>
    <row r="401" spans="1:14" x14ac:dyDescent="0.3">
      <c r="A401" t="s">
        <v>877</v>
      </c>
      <c r="B401" t="s">
        <v>878</v>
      </c>
      <c r="C401" t="s">
        <v>739</v>
      </c>
      <c r="D401" t="s">
        <v>41</v>
      </c>
      <c r="E401" t="s">
        <v>24</v>
      </c>
      <c r="F401" s="3">
        <v>6.06</v>
      </c>
      <c r="G401">
        <v>1645</v>
      </c>
      <c r="H401" s="3">
        <f t="shared" si="12"/>
        <v>9968.6999999999989</v>
      </c>
      <c r="I401" s="3">
        <v>996.87</v>
      </c>
      <c r="J401" s="3">
        <v>8971.83</v>
      </c>
      <c r="K401" t="s">
        <v>61</v>
      </c>
      <c r="L401" t="s">
        <v>79</v>
      </c>
      <c r="M401" t="s">
        <v>37</v>
      </c>
      <c r="N401" t="str">
        <f t="shared" si="13"/>
        <v>Sep</v>
      </c>
    </row>
    <row r="402" spans="1:14" x14ac:dyDescent="0.3">
      <c r="A402" t="s">
        <v>879</v>
      </c>
      <c r="B402" t="s">
        <v>862</v>
      </c>
      <c r="C402" t="s">
        <v>385</v>
      </c>
      <c r="D402" t="s">
        <v>82</v>
      </c>
      <c r="E402" t="s">
        <v>36</v>
      </c>
      <c r="F402" s="3">
        <v>3.31</v>
      </c>
      <c r="G402">
        <v>1543</v>
      </c>
      <c r="H402" s="3">
        <f t="shared" si="12"/>
        <v>5107.33</v>
      </c>
      <c r="I402" s="3">
        <v>766.1</v>
      </c>
      <c r="J402" s="3">
        <v>4341.2299999999996</v>
      </c>
      <c r="K402" t="s">
        <v>61</v>
      </c>
      <c r="L402" t="s">
        <v>79</v>
      </c>
      <c r="M402" t="s">
        <v>27</v>
      </c>
      <c r="N402" t="str">
        <f t="shared" si="13"/>
        <v>Dec</v>
      </c>
    </row>
    <row r="403" spans="1:14" x14ac:dyDescent="0.3">
      <c r="A403" t="s">
        <v>880</v>
      </c>
      <c r="B403" t="s">
        <v>881</v>
      </c>
      <c r="C403" t="s">
        <v>154</v>
      </c>
      <c r="D403" t="s">
        <v>97</v>
      </c>
      <c r="E403" t="s">
        <v>36</v>
      </c>
      <c r="F403" s="3">
        <v>7.46</v>
      </c>
      <c r="G403">
        <v>1890</v>
      </c>
      <c r="H403" s="3">
        <f t="shared" si="12"/>
        <v>14099.4</v>
      </c>
      <c r="I403" s="3">
        <v>2114.91</v>
      </c>
      <c r="J403" s="3">
        <v>11984.49</v>
      </c>
      <c r="K403" t="s">
        <v>119</v>
      </c>
      <c r="L403" t="s">
        <v>79</v>
      </c>
      <c r="M403" t="s">
        <v>93</v>
      </c>
      <c r="N403" t="str">
        <f t="shared" si="13"/>
        <v>Aug</v>
      </c>
    </row>
    <row r="404" spans="1:14" x14ac:dyDescent="0.3">
      <c r="A404" t="s">
        <v>882</v>
      </c>
      <c r="B404" t="s">
        <v>508</v>
      </c>
      <c r="C404" t="s">
        <v>85</v>
      </c>
      <c r="D404" t="s">
        <v>97</v>
      </c>
      <c r="E404" t="s">
        <v>51</v>
      </c>
      <c r="F404" s="3">
        <v>11.08</v>
      </c>
      <c r="G404">
        <v>846</v>
      </c>
      <c r="H404" s="3">
        <f t="shared" si="12"/>
        <v>9373.68</v>
      </c>
      <c r="I404" s="3">
        <v>468.68</v>
      </c>
      <c r="J404" s="3">
        <v>8905</v>
      </c>
      <c r="K404" t="s">
        <v>25</v>
      </c>
      <c r="L404" t="s">
        <v>19</v>
      </c>
      <c r="M404" t="s">
        <v>62</v>
      </c>
      <c r="N404" t="str">
        <f t="shared" si="13"/>
        <v>Sep</v>
      </c>
    </row>
    <row r="405" spans="1:14" x14ac:dyDescent="0.3">
      <c r="A405" t="s">
        <v>883</v>
      </c>
      <c r="B405" t="s">
        <v>884</v>
      </c>
      <c r="C405" t="s">
        <v>595</v>
      </c>
      <c r="D405" t="s">
        <v>225</v>
      </c>
      <c r="E405" t="s">
        <v>36</v>
      </c>
      <c r="F405" s="3">
        <v>1.95</v>
      </c>
      <c r="G405">
        <v>123</v>
      </c>
      <c r="H405" s="3">
        <f t="shared" si="12"/>
        <v>239.85</v>
      </c>
      <c r="I405" s="3">
        <v>23.98</v>
      </c>
      <c r="J405" s="3">
        <v>215.87</v>
      </c>
      <c r="K405" t="s">
        <v>67</v>
      </c>
      <c r="L405" t="s">
        <v>79</v>
      </c>
      <c r="M405" t="s">
        <v>53</v>
      </c>
      <c r="N405" t="str">
        <f t="shared" si="13"/>
        <v>Apr</v>
      </c>
    </row>
    <row r="406" spans="1:14" x14ac:dyDescent="0.3">
      <c r="A406" t="s">
        <v>885</v>
      </c>
      <c r="B406" t="s">
        <v>251</v>
      </c>
      <c r="C406" t="s">
        <v>327</v>
      </c>
      <c r="D406" t="s">
        <v>66</v>
      </c>
      <c r="E406" t="s">
        <v>17</v>
      </c>
      <c r="F406" s="3">
        <v>13.96</v>
      </c>
      <c r="G406">
        <v>1415</v>
      </c>
      <c r="H406" s="3">
        <f t="shared" si="12"/>
        <v>19753.400000000001</v>
      </c>
      <c r="I406" s="3">
        <v>0</v>
      </c>
      <c r="J406" s="3">
        <v>19753.400000000001</v>
      </c>
      <c r="K406" t="s">
        <v>67</v>
      </c>
      <c r="L406" t="s">
        <v>79</v>
      </c>
      <c r="M406" t="s">
        <v>37</v>
      </c>
      <c r="N406" t="str">
        <f t="shared" si="13"/>
        <v>Aug</v>
      </c>
    </row>
    <row r="407" spans="1:14" x14ac:dyDescent="0.3">
      <c r="A407" t="s">
        <v>886</v>
      </c>
      <c r="B407" t="s">
        <v>853</v>
      </c>
      <c r="C407" t="s">
        <v>887</v>
      </c>
      <c r="D407" t="s">
        <v>270</v>
      </c>
      <c r="E407" t="s">
        <v>32</v>
      </c>
      <c r="F407" s="3">
        <v>9.42</v>
      </c>
      <c r="G407">
        <v>736</v>
      </c>
      <c r="H407" s="3">
        <f t="shared" si="12"/>
        <v>6933.12</v>
      </c>
      <c r="I407" s="3">
        <v>693.31</v>
      </c>
      <c r="J407" s="3">
        <v>6239.81</v>
      </c>
      <c r="K407" t="s">
        <v>67</v>
      </c>
      <c r="L407" t="s">
        <v>79</v>
      </c>
      <c r="M407" t="s">
        <v>27</v>
      </c>
      <c r="N407" t="str">
        <f t="shared" si="13"/>
        <v>Nov</v>
      </c>
    </row>
    <row r="408" spans="1:14" x14ac:dyDescent="0.3">
      <c r="A408" t="s">
        <v>888</v>
      </c>
      <c r="B408" t="s">
        <v>889</v>
      </c>
      <c r="C408" t="s">
        <v>158</v>
      </c>
      <c r="D408" t="s">
        <v>46</v>
      </c>
      <c r="E408" t="s">
        <v>24</v>
      </c>
      <c r="F408" s="3">
        <v>6.72</v>
      </c>
      <c r="G408">
        <v>353</v>
      </c>
      <c r="H408" s="3">
        <f t="shared" si="12"/>
        <v>2372.16</v>
      </c>
      <c r="I408" s="3">
        <v>118.61</v>
      </c>
      <c r="J408" s="3">
        <v>2253.5500000000002</v>
      </c>
      <c r="K408" t="s">
        <v>67</v>
      </c>
      <c r="L408" t="s">
        <v>26</v>
      </c>
      <c r="M408" t="s">
        <v>27</v>
      </c>
      <c r="N408" t="str">
        <f t="shared" si="13"/>
        <v>Dec</v>
      </c>
    </row>
    <row r="409" spans="1:14" x14ac:dyDescent="0.3">
      <c r="A409" t="s">
        <v>890</v>
      </c>
      <c r="B409" t="s">
        <v>632</v>
      </c>
      <c r="C409" t="s">
        <v>739</v>
      </c>
      <c r="D409" t="s">
        <v>78</v>
      </c>
      <c r="E409" t="s">
        <v>42</v>
      </c>
      <c r="F409" s="3">
        <v>1.77</v>
      </c>
      <c r="G409">
        <v>1618</v>
      </c>
      <c r="H409" s="3">
        <f t="shared" si="12"/>
        <v>2863.86</v>
      </c>
      <c r="I409" s="3">
        <v>0</v>
      </c>
      <c r="J409" s="3">
        <v>2863.86</v>
      </c>
      <c r="K409" t="s">
        <v>119</v>
      </c>
      <c r="L409" t="s">
        <v>26</v>
      </c>
      <c r="M409" t="s">
        <v>27</v>
      </c>
      <c r="N409" t="str">
        <f t="shared" si="13"/>
        <v>Apr</v>
      </c>
    </row>
    <row r="410" spans="1:14" x14ac:dyDescent="0.3">
      <c r="A410" t="s">
        <v>891</v>
      </c>
      <c r="B410" t="s">
        <v>892</v>
      </c>
      <c r="C410" t="s">
        <v>893</v>
      </c>
      <c r="D410" t="s">
        <v>16</v>
      </c>
      <c r="E410" t="s">
        <v>36</v>
      </c>
      <c r="F410" s="3">
        <v>4.91</v>
      </c>
      <c r="G410">
        <v>1668</v>
      </c>
      <c r="H410" s="3">
        <f t="shared" si="12"/>
        <v>8189.88</v>
      </c>
      <c r="I410" s="3">
        <v>818.99</v>
      </c>
      <c r="J410" s="3">
        <v>7370.89</v>
      </c>
      <c r="K410" t="s">
        <v>61</v>
      </c>
      <c r="L410" t="s">
        <v>52</v>
      </c>
      <c r="M410" t="s">
        <v>37</v>
      </c>
      <c r="N410" t="str">
        <f t="shared" si="13"/>
        <v>Mar</v>
      </c>
    </row>
    <row r="411" spans="1:14" x14ac:dyDescent="0.3">
      <c r="A411" t="s">
        <v>894</v>
      </c>
      <c r="B411" t="s">
        <v>305</v>
      </c>
      <c r="C411" t="s">
        <v>70</v>
      </c>
      <c r="D411" t="s">
        <v>35</v>
      </c>
      <c r="E411" t="s">
        <v>36</v>
      </c>
      <c r="F411" s="3">
        <v>7.8</v>
      </c>
      <c r="G411">
        <v>1406</v>
      </c>
      <c r="H411" s="3">
        <f t="shared" si="12"/>
        <v>10966.8</v>
      </c>
      <c r="I411" s="3">
        <v>1645.02</v>
      </c>
      <c r="J411" s="3">
        <v>9321.7800000000007</v>
      </c>
      <c r="K411" t="s">
        <v>25</v>
      </c>
      <c r="L411" t="s">
        <v>19</v>
      </c>
      <c r="M411" t="s">
        <v>93</v>
      </c>
      <c r="N411" t="str">
        <f t="shared" si="13"/>
        <v>Jun</v>
      </c>
    </row>
    <row r="412" spans="1:14" x14ac:dyDescent="0.3">
      <c r="A412" t="s">
        <v>895</v>
      </c>
      <c r="B412" t="s">
        <v>179</v>
      </c>
      <c r="C412" t="s">
        <v>395</v>
      </c>
      <c r="D412" t="s">
        <v>41</v>
      </c>
      <c r="E412" t="s">
        <v>42</v>
      </c>
      <c r="F412" s="3">
        <v>10.24</v>
      </c>
      <c r="G412">
        <v>1267</v>
      </c>
      <c r="H412" s="3">
        <f t="shared" si="12"/>
        <v>12974.08</v>
      </c>
      <c r="I412" s="3">
        <v>1297.4100000000001</v>
      </c>
      <c r="J412" s="3">
        <v>11676.67</v>
      </c>
      <c r="K412" t="s">
        <v>61</v>
      </c>
      <c r="L412" t="s">
        <v>19</v>
      </c>
      <c r="M412" t="s">
        <v>37</v>
      </c>
      <c r="N412" t="str">
        <f t="shared" si="13"/>
        <v>Sep</v>
      </c>
    </row>
    <row r="413" spans="1:14" x14ac:dyDescent="0.3">
      <c r="A413" t="s">
        <v>896</v>
      </c>
      <c r="B413" t="s">
        <v>376</v>
      </c>
      <c r="C413" t="s">
        <v>407</v>
      </c>
      <c r="D413" t="s">
        <v>35</v>
      </c>
      <c r="E413" t="s">
        <v>17</v>
      </c>
      <c r="F413" s="3">
        <v>5.89</v>
      </c>
      <c r="G413">
        <v>587</v>
      </c>
      <c r="H413" s="3">
        <f t="shared" si="12"/>
        <v>3457.43</v>
      </c>
      <c r="I413" s="3">
        <v>345.74</v>
      </c>
      <c r="J413" s="3">
        <v>3111.69</v>
      </c>
      <c r="K413" t="s">
        <v>61</v>
      </c>
      <c r="L413" t="s">
        <v>26</v>
      </c>
      <c r="M413" t="s">
        <v>62</v>
      </c>
      <c r="N413" t="str">
        <f t="shared" si="13"/>
        <v>Feb</v>
      </c>
    </row>
    <row r="414" spans="1:14" x14ac:dyDescent="0.3">
      <c r="A414" t="s">
        <v>897</v>
      </c>
      <c r="B414" t="s">
        <v>898</v>
      </c>
      <c r="C414" t="s">
        <v>831</v>
      </c>
      <c r="D414" t="s">
        <v>50</v>
      </c>
      <c r="E414" t="s">
        <v>24</v>
      </c>
      <c r="F414" s="3">
        <v>12.37</v>
      </c>
      <c r="G414">
        <v>1663</v>
      </c>
      <c r="H414" s="3">
        <f t="shared" si="12"/>
        <v>20571.309999999998</v>
      </c>
      <c r="I414" s="3">
        <v>3085.7</v>
      </c>
      <c r="J414" s="3">
        <v>17485.61</v>
      </c>
      <c r="K414" t="s">
        <v>61</v>
      </c>
      <c r="L414" t="s">
        <v>26</v>
      </c>
      <c r="M414" t="s">
        <v>27</v>
      </c>
      <c r="N414" t="str">
        <f t="shared" si="13"/>
        <v>Sep</v>
      </c>
    </row>
    <row r="415" spans="1:14" x14ac:dyDescent="0.3">
      <c r="A415" t="s">
        <v>899</v>
      </c>
      <c r="B415" t="s">
        <v>238</v>
      </c>
      <c r="C415" t="s">
        <v>662</v>
      </c>
      <c r="D415" t="s">
        <v>114</v>
      </c>
      <c r="E415" t="s">
        <v>51</v>
      </c>
      <c r="F415" s="3">
        <v>5</v>
      </c>
      <c r="G415">
        <v>877</v>
      </c>
      <c r="H415" s="3">
        <f t="shared" si="12"/>
        <v>4385</v>
      </c>
      <c r="I415" s="3">
        <v>657.75</v>
      </c>
      <c r="J415" s="3">
        <v>3727.25</v>
      </c>
      <c r="K415" t="s">
        <v>119</v>
      </c>
      <c r="L415" t="s">
        <v>19</v>
      </c>
      <c r="M415" t="s">
        <v>20</v>
      </c>
      <c r="N415" t="str">
        <f t="shared" si="13"/>
        <v>Jan</v>
      </c>
    </row>
    <row r="416" spans="1:14" x14ac:dyDescent="0.3">
      <c r="A416" t="s">
        <v>900</v>
      </c>
      <c r="B416" t="s">
        <v>901</v>
      </c>
      <c r="C416" t="s">
        <v>332</v>
      </c>
      <c r="D416" t="s">
        <v>155</v>
      </c>
      <c r="E416" t="s">
        <v>51</v>
      </c>
      <c r="F416" s="3">
        <v>11.31</v>
      </c>
      <c r="G416">
        <v>475</v>
      </c>
      <c r="H416" s="3">
        <f t="shared" si="12"/>
        <v>5372.25</v>
      </c>
      <c r="I416" s="3">
        <v>805.84</v>
      </c>
      <c r="J416" s="3">
        <v>4566.41</v>
      </c>
      <c r="K416" t="s">
        <v>61</v>
      </c>
      <c r="L416" t="s">
        <v>79</v>
      </c>
      <c r="M416" t="s">
        <v>62</v>
      </c>
      <c r="N416" t="str">
        <f t="shared" si="13"/>
        <v>Dec</v>
      </c>
    </row>
    <row r="417" spans="1:14" x14ac:dyDescent="0.3">
      <c r="A417" t="s">
        <v>902</v>
      </c>
      <c r="B417" t="s">
        <v>903</v>
      </c>
      <c r="C417" t="s">
        <v>904</v>
      </c>
      <c r="D417" t="s">
        <v>270</v>
      </c>
      <c r="E417" t="s">
        <v>51</v>
      </c>
      <c r="F417" s="3">
        <v>2.82</v>
      </c>
      <c r="G417">
        <v>282</v>
      </c>
      <c r="H417" s="3">
        <f t="shared" si="12"/>
        <v>795.24</v>
      </c>
      <c r="I417" s="3">
        <v>79.52</v>
      </c>
      <c r="J417" s="3">
        <v>715.72</v>
      </c>
      <c r="K417" t="s">
        <v>25</v>
      </c>
      <c r="L417" t="s">
        <v>26</v>
      </c>
      <c r="M417" t="s">
        <v>27</v>
      </c>
      <c r="N417" t="str">
        <f t="shared" si="13"/>
        <v>Dec</v>
      </c>
    </row>
    <row r="418" spans="1:14" x14ac:dyDescent="0.3">
      <c r="A418" t="s">
        <v>905</v>
      </c>
      <c r="B418" t="s">
        <v>906</v>
      </c>
      <c r="C418" t="s">
        <v>662</v>
      </c>
      <c r="D418" t="s">
        <v>97</v>
      </c>
      <c r="E418" t="s">
        <v>36</v>
      </c>
      <c r="F418" s="3">
        <v>6.3</v>
      </c>
      <c r="G418">
        <v>1544</v>
      </c>
      <c r="H418" s="3">
        <f t="shared" si="12"/>
        <v>9727.1999999999989</v>
      </c>
      <c r="I418" s="3">
        <v>972.72</v>
      </c>
      <c r="J418" s="3">
        <v>8754.48</v>
      </c>
      <c r="K418" t="s">
        <v>119</v>
      </c>
      <c r="L418" t="s">
        <v>79</v>
      </c>
      <c r="M418" t="s">
        <v>53</v>
      </c>
      <c r="N418" t="str">
        <f t="shared" si="13"/>
        <v>Jun</v>
      </c>
    </row>
    <row r="419" spans="1:14" x14ac:dyDescent="0.3">
      <c r="A419" t="s">
        <v>907</v>
      </c>
      <c r="B419" t="s">
        <v>851</v>
      </c>
      <c r="C419" t="s">
        <v>874</v>
      </c>
      <c r="D419" t="s">
        <v>46</v>
      </c>
      <c r="E419" t="s">
        <v>32</v>
      </c>
      <c r="F419" s="3">
        <v>12.99</v>
      </c>
      <c r="G419">
        <v>983</v>
      </c>
      <c r="H419" s="3">
        <f t="shared" si="12"/>
        <v>12769.17</v>
      </c>
      <c r="I419" s="3">
        <v>0</v>
      </c>
      <c r="J419" s="3">
        <v>12769.17</v>
      </c>
      <c r="K419" t="s">
        <v>25</v>
      </c>
      <c r="L419" t="s">
        <v>19</v>
      </c>
      <c r="M419" t="s">
        <v>37</v>
      </c>
      <c r="N419" t="str">
        <f t="shared" si="13"/>
        <v>May</v>
      </c>
    </row>
    <row r="420" spans="1:14" x14ac:dyDescent="0.3">
      <c r="A420" t="s">
        <v>908</v>
      </c>
      <c r="B420" t="s">
        <v>909</v>
      </c>
      <c r="C420" t="s">
        <v>134</v>
      </c>
      <c r="D420" t="s">
        <v>82</v>
      </c>
      <c r="E420" t="s">
        <v>17</v>
      </c>
      <c r="F420" s="3">
        <v>6.65</v>
      </c>
      <c r="G420">
        <v>631</v>
      </c>
      <c r="H420" s="3">
        <f t="shared" si="12"/>
        <v>4196.1500000000005</v>
      </c>
      <c r="I420" s="3">
        <v>629.41999999999996</v>
      </c>
      <c r="J420" s="3">
        <v>3566.73</v>
      </c>
      <c r="K420" t="s">
        <v>18</v>
      </c>
      <c r="L420" t="s">
        <v>26</v>
      </c>
      <c r="M420" t="s">
        <v>62</v>
      </c>
      <c r="N420" t="str">
        <f t="shared" si="13"/>
        <v>Apr</v>
      </c>
    </row>
    <row r="421" spans="1:14" x14ac:dyDescent="0.3">
      <c r="A421" t="s">
        <v>910</v>
      </c>
      <c r="B421" t="s">
        <v>911</v>
      </c>
      <c r="C421" t="s">
        <v>34</v>
      </c>
      <c r="D421" t="s">
        <v>78</v>
      </c>
      <c r="E421" t="s">
        <v>42</v>
      </c>
      <c r="F421" s="3">
        <v>13.55</v>
      </c>
      <c r="G421">
        <v>957</v>
      </c>
      <c r="H421" s="3">
        <f t="shared" si="12"/>
        <v>12967.35</v>
      </c>
      <c r="I421" s="3">
        <v>648.37</v>
      </c>
      <c r="J421" s="3">
        <v>12318.98</v>
      </c>
      <c r="K421" t="s">
        <v>61</v>
      </c>
      <c r="L421" t="s">
        <v>26</v>
      </c>
      <c r="M421" t="s">
        <v>93</v>
      </c>
      <c r="N421" t="str">
        <f t="shared" si="13"/>
        <v>Apr</v>
      </c>
    </row>
    <row r="422" spans="1:14" x14ac:dyDescent="0.3">
      <c r="A422" t="s">
        <v>912</v>
      </c>
      <c r="B422" t="s">
        <v>913</v>
      </c>
      <c r="C422" t="s">
        <v>697</v>
      </c>
      <c r="D422" t="s">
        <v>270</v>
      </c>
      <c r="E422" t="s">
        <v>51</v>
      </c>
      <c r="F422" s="3">
        <v>10.07</v>
      </c>
      <c r="G422">
        <v>29</v>
      </c>
      <c r="H422" s="3">
        <f t="shared" si="12"/>
        <v>292.03000000000003</v>
      </c>
      <c r="I422" s="3">
        <v>43.8</v>
      </c>
      <c r="J422" s="3">
        <v>248.23</v>
      </c>
      <c r="K422" t="s">
        <v>61</v>
      </c>
      <c r="L422" t="s">
        <v>26</v>
      </c>
      <c r="M422" t="s">
        <v>62</v>
      </c>
      <c r="N422" t="str">
        <f t="shared" si="13"/>
        <v>Sep</v>
      </c>
    </row>
    <row r="423" spans="1:14" x14ac:dyDescent="0.3">
      <c r="A423" t="s">
        <v>914</v>
      </c>
      <c r="B423" t="s">
        <v>548</v>
      </c>
      <c r="C423" t="s">
        <v>831</v>
      </c>
      <c r="D423" t="s">
        <v>270</v>
      </c>
      <c r="E423" t="s">
        <v>32</v>
      </c>
      <c r="F423" s="3">
        <v>12.1</v>
      </c>
      <c r="G423">
        <v>1616</v>
      </c>
      <c r="H423" s="3">
        <f t="shared" si="12"/>
        <v>19553.599999999999</v>
      </c>
      <c r="I423" s="3">
        <v>0</v>
      </c>
      <c r="J423" s="3">
        <v>19553.599999999999</v>
      </c>
      <c r="K423" t="s">
        <v>67</v>
      </c>
      <c r="L423" t="s">
        <v>52</v>
      </c>
      <c r="M423" t="s">
        <v>27</v>
      </c>
      <c r="N423" t="str">
        <f t="shared" si="13"/>
        <v>Oct</v>
      </c>
    </row>
    <row r="424" spans="1:14" x14ac:dyDescent="0.3">
      <c r="A424" t="s">
        <v>915</v>
      </c>
      <c r="B424" t="s">
        <v>754</v>
      </c>
      <c r="C424" t="s">
        <v>916</v>
      </c>
      <c r="D424" t="s">
        <v>78</v>
      </c>
      <c r="E424" t="s">
        <v>32</v>
      </c>
      <c r="F424" s="3">
        <v>6.67</v>
      </c>
      <c r="G424">
        <v>97</v>
      </c>
      <c r="H424" s="3">
        <f t="shared" si="12"/>
        <v>646.99</v>
      </c>
      <c r="I424" s="3">
        <v>32.35</v>
      </c>
      <c r="J424" s="3">
        <v>614.64</v>
      </c>
      <c r="K424" t="s">
        <v>61</v>
      </c>
      <c r="L424" t="s">
        <v>19</v>
      </c>
      <c r="M424" t="s">
        <v>53</v>
      </c>
      <c r="N424" t="str">
        <f t="shared" si="13"/>
        <v>Aug</v>
      </c>
    </row>
    <row r="425" spans="1:14" x14ac:dyDescent="0.3">
      <c r="A425" t="s">
        <v>917</v>
      </c>
      <c r="B425" t="s">
        <v>90</v>
      </c>
      <c r="C425" t="s">
        <v>918</v>
      </c>
      <c r="D425" t="s">
        <v>16</v>
      </c>
      <c r="E425" t="s">
        <v>17</v>
      </c>
      <c r="F425" s="3">
        <v>1.56</v>
      </c>
      <c r="G425">
        <v>1522</v>
      </c>
      <c r="H425" s="3">
        <f t="shared" si="12"/>
        <v>2374.3200000000002</v>
      </c>
      <c r="I425" s="3">
        <v>118.72</v>
      </c>
      <c r="J425" s="3">
        <v>2255.6</v>
      </c>
      <c r="K425" t="s">
        <v>67</v>
      </c>
      <c r="L425" t="s">
        <v>79</v>
      </c>
      <c r="M425" t="s">
        <v>53</v>
      </c>
      <c r="N425" t="str">
        <f t="shared" si="13"/>
        <v>Sep</v>
      </c>
    </row>
    <row r="426" spans="1:14" x14ac:dyDescent="0.3">
      <c r="A426" t="s">
        <v>919</v>
      </c>
      <c r="B426" t="s">
        <v>434</v>
      </c>
      <c r="C426" t="s">
        <v>483</v>
      </c>
      <c r="D426" t="s">
        <v>66</v>
      </c>
      <c r="E426" t="s">
        <v>42</v>
      </c>
      <c r="F426" s="3">
        <v>9.4499999999999993</v>
      </c>
      <c r="G426">
        <v>362</v>
      </c>
      <c r="H426" s="3">
        <f t="shared" si="12"/>
        <v>3420.8999999999996</v>
      </c>
      <c r="I426" s="3">
        <v>0</v>
      </c>
      <c r="J426" s="3">
        <v>3420.9</v>
      </c>
      <c r="K426" t="s">
        <v>18</v>
      </c>
      <c r="L426" t="s">
        <v>79</v>
      </c>
      <c r="M426" t="s">
        <v>53</v>
      </c>
      <c r="N426" t="str">
        <f t="shared" si="13"/>
        <v>Mar</v>
      </c>
    </row>
    <row r="427" spans="1:14" x14ac:dyDescent="0.3">
      <c r="A427" t="s">
        <v>920</v>
      </c>
      <c r="B427" t="s">
        <v>921</v>
      </c>
      <c r="C427" t="s">
        <v>922</v>
      </c>
      <c r="D427" t="s">
        <v>135</v>
      </c>
      <c r="E427" t="s">
        <v>42</v>
      </c>
      <c r="F427" s="3">
        <v>8.58</v>
      </c>
      <c r="G427">
        <v>908</v>
      </c>
      <c r="H427" s="3">
        <f t="shared" si="12"/>
        <v>7790.64</v>
      </c>
      <c r="I427" s="3">
        <v>389.53</v>
      </c>
      <c r="J427" s="3">
        <v>7401.11</v>
      </c>
      <c r="K427" t="s">
        <v>61</v>
      </c>
      <c r="L427" t="s">
        <v>52</v>
      </c>
      <c r="M427" t="s">
        <v>53</v>
      </c>
      <c r="N427" t="str">
        <f t="shared" si="13"/>
        <v>Aug</v>
      </c>
    </row>
    <row r="428" spans="1:14" x14ac:dyDescent="0.3">
      <c r="A428" t="s">
        <v>923</v>
      </c>
      <c r="B428" t="s">
        <v>835</v>
      </c>
      <c r="C428" t="s">
        <v>125</v>
      </c>
      <c r="D428" t="s">
        <v>66</v>
      </c>
      <c r="E428" t="s">
        <v>24</v>
      </c>
      <c r="F428" s="3">
        <v>4.58</v>
      </c>
      <c r="G428">
        <v>1509</v>
      </c>
      <c r="H428" s="3">
        <f t="shared" si="12"/>
        <v>6911.22</v>
      </c>
      <c r="I428" s="3">
        <v>345.56</v>
      </c>
      <c r="J428" s="3">
        <v>6565.66</v>
      </c>
      <c r="K428" t="s">
        <v>67</v>
      </c>
      <c r="L428" t="s">
        <v>19</v>
      </c>
      <c r="M428" t="s">
        <v>20</v>
      </c>
      <c r="N428" t="str">
        <f t="shared" si="13"/>
        <v>Apr</v>
      </c>
    </row>
    <row r="429" spans="1:14" x14ac:dyDescent="0.3">
      <c r="A429" t="s">
        <v>924</v>
      </c>
      <c r="B429" t="s">
        <v>404</v>
      </c>
      <c r="C429" t="s">
        <v>665</v>
      </c>
      <c r="D429" t="s">
        <v>82</v>
      </c>
      <c r="E429" t="s">
        <v>51</v>
      </c>
      <c r="F429" s="3">
        <v>11.1</v>
      </c>
      <c r="G429">
        <v>1642</v>
      </c>
      <c r="H429" s="3">
        <f t="shared" si="12"/>
        <v>18226.2</v>
      </c>
      <c r="I429" s="3">
        <v>0</v>
      </c>
      <c r="J429" s="3">
        <v>18226.2</v>
      </c>
      <c r="K429" t="s">
        <v>119</v>
      </c>
      <c r="L429" t="s">
        <v>79</v>
      </c>
      <c r="M429" t="s">
        <v>20</v>
      </c>
      <c r="N429" t="str">
        <f t="shared" si="13"/>
        <v>Sep</v>
      </c>
    </row>
    <row r="430" spans="1:14" x14ac:dyDescent="0.3">
      <c r="A430" t="s">
        <v>925</v>
      </c>
      <c r="B430" t="s">
        <v>926</v>
      </c>
      <c r="C430" t="s">
        <v>425</v>
      </c>
      <c r="D430" t="s">
        <v>92</v>
      </c>
      <c r="E430" t="s">
        <v>24</v>
      </c>
      <c r="F430" s="3">
        <v>10.44</v>
      </c>
      <c r="G430">
        <v>1358</v>
      </c>
      <c r="H430" s="3">
        <f t="shared" si="12"/>
        <v>14177.519999999999</v>
      </c>
      <c r="I430" s="3">
        <v>0</v>
      </c>
      <c r="J430" s="3">
        <v>14177.52</v>
      </c>
      <c r="K430" t="s">
        <v>18</v>
      </c>
      <c r="L430" t="s">
        <v>19</v>
      </c>
      <c r="M430" t="s">
        <v>37</v>
      </c>
      <c r="N430" t="str">
        <f t="shared" si="13"/>
        <v>Nov</v>
      </c>
    </row>
    <row r="431" spans="1:14" x14ac:dyDescent="0.3">
      <c r="A431" t="s">
        <v>927</v>
      </c>
      <c r="B431" t="s">
        <v>525</v>
      </c>
      <c r="C431" t="s">
        <v>435</v>
      </c>
      <c r="D431" t="s">
        <v>82</v>
      </c>
      <c r="E431" t="s">
        <v>42</v>
      </c>
      <c r="F431" s="3">
        <v>4.91</v>
      </c>
      <c r="G431">
        <v>1457</v>
      </c>
      <c r="H431" s="3">
        <f t="shared" si="12"/>
        <v>7153.87</v>
      </c>
      <c r="I431" s="3">
        <v>357.69</v>
      </c>
      <c r="J431" s="3">
        <v>6796.18</v>
      </c>
      <c r="K431" t="s">
        <v>67</v>
      </c>
      <c r="L431" t="s">
        <v>19</v>
      </c>
      <c r="M431" t="s">
        <v>53</v>
      </c>
      <c r="N431" t="str">
        <f t="shared" si="13"/>
        <v>Aug</v>
      </c>
    </row>
    <row r="432" spans="1:14" x14ac:dyDescent="0.3">
      <c r="A432" t="s">
        <v>928</v>
      </c>
      <c r="B432" t="s">
        <v>929</v>
      </c>
      <c r="C432" t="s">
        <v>395</v>
      </c>
      <c r="D432" t="s">
        <v>82</v>
      </c>
      <c r="E432" t="s">
        <v>17</v>
      </c>
      <c r="F432" s="3">
        <v>8.52</v>
      </c>
      <c r="G432">
        <v>1295</v>
      </c>
      <c r="H432" s="3">
        <f t="shared" si="12"/>
        <v>11033.4</v>
      </c>
      <c r="I432" s="3">
        <v>551.66999999999996</v>
      </c>
      <c r="J432" s="3">
        <v>10481.73</v>
      </c>
      <c r="K432" t="s">
        <v>119</v>
      </c>
      <c r="L432" t="s">
        <v>19</v>
      </c>
      <c r="M432" t="s">
        <v>20</v>
      </c>
      <c r="N432" t="str">
        <f t="shared" si="13"/>
        <v>Aug</v>
      </c>
    </row>
    <row r="433" spans="1:14" x14ac:dyDescent="0.3">
      <c r="A433" t="s">
        <v>930</v>
      </c>
      <c r="B433" t="s">
        <v>424</v>
      </c>
      <c r="C433" t="s">
        <v>281</v>
      </c>
      <c r="D433" t="s">
        <v>46</v>
      </c>
      <c r="E433" t="s">
        <v>24</v>
      </c>
      <c r="F433" s="3">
        <v>12.09</v>
      </c>
      <c r="G433">
        <v>1039</v>
      </c>
      <c r="H433" s="3">
        <f t="shared" si="12"/>
        <v>12561.51</v>
      </c>
      <c r="I433" s="3">
        <v>628.08000000000004</v>
      </c>
      <c r="J433" s="3">
        <v>11933.43</v>
      </c>
      <c r="K433" t="s">
        <v>25</v>
      </c>
      <c r="L433" t="s">
        <v>26</v>
      </c>
      <c r="M433" t="s">
        <v>53</v>
      </c>
      <c r="N433" t="str">
        <f t="shared" si="13"/>
        <v>Nov</v>
      </c>
    </row>
    <row r="434" spans="1:14" x14ac:dyDescent="0.3">
      <c r="A434" t="s">
        <v>931</v>
      </c>
      <c r="B434" t="s">
        <v>788</v>
      </c>
      <c r="C434" t="s">
        <v>595</v>
      </c>
      <c r="D434" t="s">
        <v>41</v>
      </c>
      <c r="E434" t="s">
        <v>17</v>
      </c>
      <c r="F434" s="3">
        <v>7.03</v>
      </c>
      <c r="G434">
        <v>348</v>
      </c>
      <c r="H434" s="3">
        <f t="shared" si="12"/>
        <v>2446.44</v>
      </c>
      <c r="I434" s="3">
        <v>0</v>
      </c>
      <c r="J434" s="3">
        <v>2446.44</v>
      </c>
      <c r="K434" t="s">
        <v>25</v>
      </c>
      <c r="L434" t="s">
        <v>52</v>
      </c>
      <c r="M434" t="s">
        <v>62</v>
      </c>
      <c r="N434" t="str">
        <f t="shared" si="13"/>
        <v>Sep</v>
      </c>
    </row>
    <row r="435" spans="1:14" x14ac:dyDescent="0.3">
      <c r="A435" t="s">
        <v>932</v>
      </c>
      <c r="B435" t="s">
        <v>889</v>
      </c>
      <c r="C435" t="s">
        <v>355</v>
      </c>
      <c r="D435" t="s">
        <v>110</v>
      </c>
      <c r="E435" t="s">
        <v>36</v>
      </c>
      <c r="F435" s="3">
        <v>1.54</v>
      </c>
      <c r="G435">
        <v>1395</v>
      </c>
      <c r="H435" s="3">
        <f t="shared" si="12"/>
        <v>2148.3000000000002</v>
      </c>
      <c r="I435" s="3">
        <v>0</v>
      </c>
      <c r="J435" s="3">
        <v>2148.3000000000002</v>
      </c>
      <c r="K435" t="s">
        <v>18</v>
      </c>
      <c r="L435" t="s">
        <v>52</v>
      </c>
      <c r="M435" t="s">
        <v>62</v>
      </c>
      <c r="N435" t="str">
        <f t="shared" si="13"/>
        <v>Dec</v>
      </c>
    </row>
    <row r="436" spans="1:14" x14ac:dyDescent="0.3">
      <c r="A436" t="s">
        <v>933</v>
      </c>
      <c r="B436" t="s">
        <v>299</v>
      </c>
      <c r="C436" t="s">
        <v>934</v>
      </c>
      <c r="D436" t="s">
        <v>135</v>
      </c>
      <c r="E436" t="s">
        <v>24</v>
      </c>
      <c r="F436" s="3">
        <v>11.27</v>
      </c>
      <c r="G436">
        <v>227</v>
      </c>
      <c r="H436" s="3">
        <f t="shared" si="12"/>
        <v>2558.29</v>
      </c>
      <c r="I436" s="3">
        <v>255.83</v>
      </c>
      <c r="J436" s="3">
        <v>2302.46</v>
      </c>
      <c r="K436" t="s">
        <v>67</v>
      </c>
      <c r="L436" t="s">
        <v>52</v>
      </c>
      <c r="M436" t="s">
        <v>53</v>
      </c>
      <c r="N436" t="str">
        <f t="shared" si="13"/>
        <v>Feb</v>
      </c>
    </row>
    <row r="437" spans="1:14" x14ac:dyDescent="0.3">
      <c r="A437" t="s">
        <v>935</v>
      </c>
      <c r="B437" t="s">
        <v>142</v>
      </c>
      <c r="C437" t="s">
        <v>936</v>
      </c>
      <c r="D437" t="s">
        <v>225</v>
      </c>
      <c r="E437" t="s">
        <v>24</v>
      </c>
      <c r="F437" s="3">
        <v>12.48</v>
      </c>
      <c r="G437">
        <v>1810</v>
      </c>
      <c r="H437" s="3">
        <f t="shared" si="12"/>
        <v>22588.799999999999</v>
      </c>
      <c r="I437" s="3">
        <v>0</v>
      </c>
      <c r="J437" s="3">
        <v>22588.799999999999</v>
      </c>
      <c r="K437" t="s">
        <v>61</v>
      </c>
      <c r="L437" t="s">
        <v>79</v>
      </c>
      <c r="M437" t="s">
        <v>27</v>
      </c>
      <c r="N437" t="str">
        <f t="shared" si="13"/>
        <v>May</v>
      </c>
    </row>
    <row r="438" spans="1:14" x14ac:dyDescent="0.3">
      <c r="A438" t="s">
        <v>937</v>
      </c>
      <c r="B438" t="s">
        <v>657</v>
      </c>
      <c r="C438" t="s">
        <v>244</v>
      </c>
      <c r="D438" t="s">
        <v>82</v>
      </c>
      <c r="E438" t="s">
        <v>24</v>
      </c>
      <c r="F438" s="3">
        <v>12.99</v>
      </c>
      <c r="G438">
        <v>1843</v>
      </c>
      <c r="H438" s="3">
        <f t="shared" si="12"/>
        <v>23940.57</v>
      </c>
      <c r="I438" s="3">
        <v>0</v>
      </c>
      <c r="J438" s="3">
        <v>23940.57</v>
      </c>
      <c r="K438" t="s">
        <v>18</v>
      </c>
      <c r="L438" t="s">
        <v>26</v>
      </c>
      <c r="M438" t="s">
        <v>27</v>
      </c>
      <c r="N438" t="str">
        <f t="shared" si="13"/>
        <v>Jun</v>
      </c>
    </row>
    <row r="439" spans="1:14" x14ac:dyDescent="0.3">
      <c r="A439" t="s">
        <v>938</v>
      </c>
      <c r="B439" t="s">
        <v>649</v>
      </c>
      <c r="C439" t="s">
        <v>665</v>
      </c>
      <c r="D439" t="s">
        <v>110</v>
      </c>
      <c r="E439" t="s">
        <v>51</v>
      </c>
      <c r="F439" s="3">
        <v>13.58</v>
      </c>
      <c r="G439">
        <v>1976</v>
      </c>
      <c r="H439" s="3">
        <f t="shared" si="12"/>
        <v>26834.080000000002</v>
      </c>
      <c r="I439" s="3">
        <v>2683.41</v>
      </c>
      <c r="J439" s="3">
        <v>24150.67</v>
      </c>
      <c r="K439" t="s">
        <v>18</v>
      </c>
      <c r="L439" t="s">
        <v>79</v>
      </c>
      <c r="M439" t="s">
        <v>53</v>
      </c>
      <c r="N439" t="str">
        <f t="shared" si="13"/>
        <v>Nov</v>
      </c>
    </row>
    <row r="440" spans="1:14" x14ac:dyDescent="0.3">
      <c r="A440" t="s">
        <v>939</v>
      </c>
      <c r="B440" t="s">
        <v>940</v>
      </c>
      <c r="C440" t="s">
        <v>180</v>
      </c>
      <c r="D440" t="s">
        <v>66</v>
      </c>
      <c r="E440" t="s">
        <v>32</v>
      </c>
      <c r="F440" s="3">
        <v>14.49</v>
      </c>
      <c r="G440">
        <v>576</v>
      </c>
      <c r="H440" s="3">
        <f t="shared" si="12"/>
        <v>8346.24</v>
      </c>
      <c r="I440" s="3">
        <v>1251.94</v>
      </c>
      <c r="J440" s="3">
        <v>7094.3</v>
      </c>
      <c r="K440" t="s">
        <v>119</v>
      </c>
      <c r="L440" t="s">
        <v>52</v>
      </c>
      <c r="M440" t="s">
        <v>27</v>
      </c>
      <c r="N440" t="str">
        <f t="shared" si="13"/>
        <v>Apr</v>
      </c>
    </row>
    <row r="441" spans="1:14" x14ac:dyDescent="0.3">
      <c r="A441" t="s">
        <v>941</v>
      </c>
      <c r="B441" t="s">
        <v>235</v>
      </c>
      <c r="C441" t="s">
        <v>15</v>
      </c>
      <c r="D441" t="s">
        <v>71</v>
      </c>
      <c r="E441" t="s">
        <v>17</v>
      </c>
      <c r="F441" s="3">
        <v>11.31</v>
      </c>
      <c r="G441">
        <v>1950</v>
      </c>
      <c r="H441" s="3">
        <f t="shared" si="12"/>
        <v>22054.5</v>
      </c>
      <c r="I441" s="3">
        <v>1102.73</v>
      </c>
      <c r="J441" s="3">
        <v>20951.77</v>
      </c>
      <c r="K441" t="s">
        <v>18</v>
      </c>
      <c r="L441" t="s">
        <v>52</v>
      </c>
      <c r="M441" t="s">
        <v>20</v>
      </c>
      <c r="N441" t="str">
        <f t="shared" si="13"/>
        <v>Mar</v>
      </c>
    </row>
    <row r="442" spans="1:14" x14ac:dyDescent="0.3">
      <c r="A442" t="s">
        <v>942</v>
      </c>
      <c r="B442" t="s">
        <v>329</v>
      </c>
      <c r="C442" t="s">
        <v>96</v>
      </c>
      <c r="D442" t="s">
        <v>60</v>
      </c>
      <c r="E442" t="s">
        <v>36</v>
      </c>
      <c r="F442" s="3">
        <v>9.75</v>
      </c>
      <c r="G442">
        <v>1615</v>
      </c>
      <c r="H442" s="3">
        <f t="shared" si="12"/>
        <v>15746.25</v>
      </c>
      <c r="I442" s="3">
        <v>1574.62</v>
      </c>
      <c r="J442" s="3">
        <v>14171.63</v>
      </c>
      <c r="K442" t="s">
        <v>25</v>
      </c>
      <c r="L442" t="s">
        <v>19</v>
      </c>
      <c r="M442" t="s">
        <v>27</v>
      </c>
      <c r="N442" t="str">
        <f t="shared" si="13"/>
        <v>Sep</v>
      </c>
    </row>
    <row r="443" spans="1:14" x14ac:dyDescent="0.3">
      <c r="A443" t="s">
        <v>943</v>
      </c>
      <c r="B443" t="s">
        <v>434</v>
      </c>
      <c r="C443" t="s">
        <v>355</v>
      </c>
      <c r="D443" t="s">
        <v>114</v>
      </c>
      <c r="E443" t="s">
        <v>24</v>
      </c>
      <c r="F443" s="3">
        <v>13.48</v>
      </c>
      <c r="G443">
        <v>922</v>
      </c>
      <c r="H443" s="3">
        <f t="shared" si="12"/>
        <v>12428.56</v>
      </c>
      <c r="I443" s="3">
        <v>0</v>
      </c>
      <c r="J443" s="3">
        <v>12428.56</v>
      </c>
      <c r="K443" t="s">
        <v>18</v>
      </c>
      <c r="L443" t="s">
        <v>79</v>
      </c>
      <c r="M443" t="s">
        <v>27</v>
      </c>
      <c r="N443" t="str">
        <f t="shared" si="13"/>
        <v>Mar</v>
      </c>
    </row>
    <row r="444" spans="1:14" x14ac:dyDescent="0.3">
      <c r="A444" t="s">
        <v>944</v>
      </c>
      <c r="B444" t="s">
        <v>657</v>
      </c>
      <c r="C444" t="s">
        <v>652</v>
      </c>
      <c r="D444" t="s">
        <v>135</v>
      </c>
      <c r="E444" t="s">
        <v>17</v>
      </c>
      <c r="F444" s="3">
        <v>9.2799999999999994</v>
      </c>
      <c r="G444">
        <v>1177</v>
      </c>
      <c r="H444" s="3">
        <f t="shared" si="12"/>
        <v>10922.56</v>
      </c>
      <c r="I444" s="3">
        <v>546.13</v>
      </c>
      <c r="J444" s="3">
        <v>10376.43</v>
      </c>
      <c r="K444" t="s">
        <v>61</v>
      </c>
      <c r="L444" t="s">
        <v>19</v>
      </c>
      <c r="M444" t="s">
        <v>37</v>
      </c>
      <c r="N444" t="str">
        <f t="shared" si="13"/>
        <v>Jun</v>
      </c>
    </row>
    <row r="445" spans="1:14" x14ac:dyDescent="0.3">
      <c r="A445" t="s">
        <v>945</v>
      </c>
      <c r="B445" t="s">
        <v>639</v>
      </c>
      <c r="C445" t="s">
        <v>922</v>
      </c>
      <c r="D445" t="s">
        <v>50</v>
      </c>
      <c r="E445" t="s">
        <v>32</v>
      </c>
      <c r="F445" s="3">
        <v>6.17</v>
      </c>
      <c r="G445">
        <v>1405</v>
      </c>
      <c r="H445" s="3">
        <f t="shared" si="12"/>
        <v>8668.85</v>
      </c>
      <c r="I445" s="3">
        <v>1300.33</v>
      </c>
      <c r="J445" s="3">
        <v>7368.52</v>
      </c>
      <c r="K445" t="s">
        <v>67</v>
      </c>
      <c r="L445" t="s">
        <v>19</v>
      </c>
      <c r="M445" t="s">
        <v>93</v>
      </c>
      <c r="N445" t="str">
        <f t="shared" si="13"/>
        <v>Dec</v>
      </c>
    </row>
    <row r="446" spans="1:14" x14ac:dyDescent="0.3">
      <c r="A446" t="s">
        <v>946</v>
      </c>
      <c r="B446" t="s">
        <v>69</v>
      </c>
      <c r="C446" t="s">
        <v>85</v>
      </c>
      <c r="D446" t="s">
        <v>135</v>
      </c>
      <c r="E446" t="s">
        <v>32</v>
      </c>
      <c r="F446" s="3">
        <v>13</v>
      </c>
      <c r="G446">
        <v>1800</v>
      </c>
      <c r="H446" s="3">
        <f t="shared" si="12"/>
        <v>23400</v>
      </c>
      <c r="I446" s="3">
        <v>1170</v>
      </c>
      <c r="J446" s="3">
        <v>22230</v>
      </c>
      <c r="K446" t="s">
        <v>18</v>
      </c>
      <c r="L446" t="s">
        <v>52</v>
      </c>
      <c r="M446" t="s">
        <v>53</v>
      </c>
      <c r="N446" t="str">
        <f t="shared" si="13"/>
        <v>Nov</v>
      </c>
    </row>
    <row r="447" spans="1:14" x14ac:dyDescent="0.3">
      <c r="A447" t="s">
        <v>947</v>
      </c>
      <c r="B447" t="s">
        <v>95</v>
      </c>
      <c r="C447" t="s">
        <v>510</v>
      </c>
      <c r="D447" t="s">
        <v>35</v>
      </c>
      <c r="E447" t="s">
        <v>24</v>
      </c>
      <c r="F447" s="3">
        <v>8.34</v>
      </c>
      <c r="G447">
        <v>1147</v>
      </c>
      <c r="H447" s="3">
        <f t="shared" si="12"/>
        <v>9565.98</v>
      </c>
      <c r="I447" s="3">
        <v>1434.9</v>
      </c>
      <c r="J447" s="3">
        <v>8131.08</v>
      </c>
      <c r="K447" t="s">
        <v>119</v>
      </c>
      <c r="L447" t="s">
        <v>26</v>
      </c>
      <c r="M447" t="s">
        <v>93</v>
      </c>
      <c r="N447" t="str">
        <f t="shared" si="13"/>
        <v>May</v>
      </c>
    </row>
    <row r="448" spans="1:14" x14ac:dyDescent="0.3">
      <c r="A448" t="s">
        <v>948</v>
      </c>
      <c r="B448" t="s">
        <v>949</v>
      </c>
      <c r="C448" t="s">
        <v>772</v>
      </c>
      <c r="D448" t="s">
        <v>107</v>
      </c>
      <c r="E448" t="s">
        <v>32</v>
      </c>
      <c r="F448" s="3">
        <v>2.69</v>
      </c>
      <c r="G448">
        <v>1040</v>
      </c>
      <c r="H448" s="3">
        <f t="shared" si="12"/>
        <v>2797.6</v>
      </c>
      <c r="I448" s="3">
        <v>419.64</v>
      </c>
      <c r="J448" s="3">
        <v>2377.96</v>
      </c>
      <c r="K448" t="s">
        <v>61</v>
      </c>
      <c r="L448" t="s">
        <v>19</v>
      </c>
      <c r="M448" t="s">
        <v>37</v>
      </c>
      <c r="N448" t="str">
        <f t="shared" si="13"/>
        <v>Aug</v>
      </c>
    </row>
    <row r="449" spans="1:14" x14ac:dyDescent="0.3">
      <c r="A449" t="s">
        <v>950</v>
      </c>
      <c r="B449" t="s">
        <v>951</v>
      </c>
      <c r="C449" t="s">
        <v>681</v>
      </c>
      <c r="D449" t="s">
        <v>82</v>
      </c>
      <c r="E449" t="s">
        <v>32</v>
      </c>
      <c r="F449" s="3">
        <v>7.07</v>
      </c>
      <c r="G449">
        <v>1161</v>
      </c>
      <c r="H449" s="3">
        <f t="shared" si="12"/>
        <v>8208.27</v>
      </c>
      <c r="I449" s="3">
        <v>0</v>
      </c>
      <c r="J449" s="3">
        <v>8208.27</v>
      </c>
      <c r="K449" t="s">
        <v>18</v>
      </c>
      <c r="L449" t="s">
        <v>79</v>
      </c>
      <c r="M449" t="s">
        <v>20</v>
      </c>
      <c r="N449" t="str">
        <f t="shared" si="13"/>
        <v>Dec</v>
      </c>
    </row>
    <row r="450" spans="1:14" x14ac:dyDescent="0.3">
      <c r="A450" t="s">
        <v>952</v>
      </c>
      <c r="B450" t="s">
        <v>646</v>
      </c>
      <c r="C450" t="s">
        <v>953</v>
      </c>
      <c r="D450" t="s">
        <v>60</v>
      </c>
      <c r="E450" t="s">
        <v>51</v>
      </c>
      <c r="F450" s="3">
        <v>6.41</v>
      </c>
      <c r="G450">
        <v>131</v>
      </c>
      <c r="H450" s="3">
        <f t="shared" si="12"/>
        <v>839.71</v>
      </c>
      <c r="I450" s="3">
        <v>41.99</v>
      </c>
      <c r="J450" s="3">
        <v>797.72</v>
      </c>
      <c r="K450" t="s">
        <v>119</v>
      </c>
      <c r="L450" t="s">
        <v>79</v>
      </c>
      <c r="M450" t="s">
        <v>20</v>
      </c>
      <c r="N450" t="str">
        <f t="shared" si="13"/>
        <v>Oct</v>
      </c>
    </row>
    <row r="451" spans="1:14" x14ac:dyDescent="0.3">
      <c r="A451" t="s">
        <v>954</v>
      </c>
      <c r="B451" t="s">
        <v>955</v>
      </c>
      <c r="C451" t="s">
        <v>893</v>
      </c>
      <c r="D451" t="s">
        <v>114</v>
      </c>
      <c r="E451" t="s">
        <v>17</v>
      </c>
      <c r="F451" s="3">
        <v>10.37</v>
      </c>
      <c r="G451">
        <v>1486</v>
      </c>
      <c r="H451" s="3">
        <f t="shared" ref="H451:H514" si="14">F451*G451</f>
        <v>15409.82</v>
      </c>
      <c r="I451" s="3">
        <v>2311.4699999999998</v>
      </c>
      <c r="J451" s="3">
        <v>13098.35</v>
      </c>
      <c r="K451" t="s">
        <v>18</v>
      </c>
      <c r="L451" t="s">
        <v>19</v>
      </c>
      <c r="M451" t="s">
        <v>27</v>
      </c>
      <c r="N451" t="str">
        <f t="shared" ref="N451:N514" si="15">TEXT(B451,"mmm")</f>
        <v>Nov</v>
      </c>
    </row>
    <row r="452" spans="1:14" x14ac:dyDescent="0.3">
      <c r="A452" t="s">
        <v>956</v>
      </c>
      <c r="B452" t="s">
        <v>957</v>
      </c>
      <c r="C452" t="s">
        <v>91</v>
      </c>
      <c r="D452" t="s">
        <v>110</v>
      </c>
      <c r="E452" t="s">
        <v>51</v>
      </c>
      <c r="F452" s="3">
        <v>12.7</v>
      </c>
      <c r="G452">
        <v>1995</v>
      </c>
      <c r="H452" s="3">
        <f t="shared" si="14"/>
        <v>25336.5</v>
      </c>
      <c r="I452" s="3">
        <v>2533.65</v>
      </c>
      <c r="J452" s="3">
        <v>22802.85</v>
      </c>
      <c r="K452" t="s">
        <v>25</v>
      </c>
      <c r="L452" t="s">
        <v>79</v>
      </c>
      <c r="M452" t="s">
        <v>27</v>
      </c>
      <c r="N452" t="str">
        <f t="shared" si="15"/>
        <v>Apr</v>
      </c>
    </row>
    <row r="453" spans="1:14" x14ac:dyDescent="0.3">
      <c r="A453" t="s">
        <v>958</v>
      </c>
      <c r="B453" t="s">
        <v>87</v>
      </c>
      <c r="C453" t="s">
        <v>49</v>
      </c>
      <c r="D453" t="s">
        <v>270</v>
      </c>
      <c r="E453" t="s">
        <v>32</v>
      </c>
      <c r="F453" s="3">
        <v>3.4</v>
      </c>
      <c r="G453">
        <v>1488</v>
      </c>
      <c r="H453" s="3">
        <f t="shared" si="14"/>
        <v>5059.2</v>
      </c>
      <c r="I453" s="3">
        <v>758.88</v>
      </c>
      <c r="J453" s="3">
        <v>4300.32</v>
      </c>
      <c r="K453" t="s">
        <v>18</v>
      </c>
      <c r="L453" t="s">
        <v>79</v>
      </c>
      <c r="M453" t="s">
        <v>20</v>
      </c>
      <c r="N453" t="str">
        <f t="shared" si="15"/>
        <v>Feb</v>
      </c>
    </row>
    <row r="454" spans="1:14" x14ac:dyDescent="0.3">
      <c r="A454" t="s">
        <v>959</v>
      </c>
      <c r="B454" t="s">
        <v>960</v>
      </c>
      <c r="C454" t="s">
        <v>918</v>
      </c>
      <c r="D454" t="s">
        <v>82</v>
      </c>
      <c r="E454" t="s">
        <v>32</v>
      </c>
      <c r="F454" s="3">
        <v>4.41</v>
      </c>
      <c r="G454">
        <v>1708</v>
      </c>
      <c r="H454" s="3">
        <f t="shared" si="14"/>
        <v>7532.2800000000007</v>
      </c>
      <c r="I454" s="3">
        <v>376.61</v>
      </c>
      <c r="J454" s="3">
        <v>7155.67</v>
      </c>
      <c r="K454" t="s">
        <v>61</v>
      </c>
      <c r="L454" t="s">
        <v>19</v>
      </c>
      <c r="M454" t="s">
        <v>37</v>
      </c>
      <c r="N454" t="str">
        <f t="shared" si="15"/>
        <v>Apr</v>
      </c>
    </row>
    <row r="455" spans="1:14" x14ac:dyDescent="0.3">
      <c r="A455" t="s">
        <v>961</v>
      </c>
      <c r="B455" t="s">
        <v>962</v>
      </c>
      <c r="C455" t="s">
        <v>56</v>
      </c>
      <c r="D455" t="s">
        <v>107</v>
      </c>
      <c r="E455" t="s">
        <v>24</v>
      </c>
      <c r="F455" s="3">
        <v>11.92</v>
      </c>
      <c r="G455">
        <v>942</v>
      </c>
      <c r="H455" s="3">
        <f t="shared" si="14"/>
        <v>11228.64</v>
      </c>
      <c r="I455" s="3">
        <v>1684.3</v>
      </c>
      <c r="J455" s="3">
        <v>9544.34</v>
      </c>
      <c r="K455" t="s">
        <v>25</v>
      </c>
      <c r="L455" t="s">
        <v>26</v>
      </c>
      <c r="M455" t="s">
        <v>37</v>
      </c>
      <c r="N455" t="str">
        <f t="shared" si="15"/>
        <v>Jan</v>
      </c>
    </row>
    <row r="456" spans="1:14" x14ac:dyDescent="0.3">
      <c r="A456" t="s">
        <v>963</v>
      </c>
      <c r="B456" t="s">
        <v>720</v>
      </c>
      <c r="C456" t="s">
        <v>261</v>
      </c>
      <c r="D456" t="s">
        <v>225</v>
      </c>
      <c r="E456" t="s">
        <v>42</v>
      </c>
      <c r="F456" s="3">
        <v>14.13</v>
      </c>
      <c r="G456">
        <v>1737</v>
      </c>
      <c r="H456" s="3">
        <f t="shared" si="14"/>
        <v>24543.81</v>
      </c>
      <c r="I456" s="3">
        <v>3681.57</v>
      </c>
      <c r="J456" s="3">
        <v>20862.240000000002</v>
      </c>
      <c r="K456" t="s">
        <v>25</v>
      </c>
      <c r="L456" t="s">
        <v>26</v>
      </c>
      <c r="M456" t="s">
        <v>27</v>
      </c>
      <c r="N456" t="str">
        <f t="shared" si="15"/>
        <v>Jan</v>
      </c>
    </row>
    <row r="457" spans="1:14" x14ac:dyDescent="0.3">
      <c r="A457" t="s">
        <v>964</v>
      </c>
      <c r="B457" t="s">
        <v>965</v>
      </c>
      <c r="C457" t="s">
        <v>364</v>
      </c>
      <c r="D457" t="s">
        <v>71</v>
      </c>
      <c r="E457" t="s">
        <v>24</v>
      </c>
      <c r="F457" s="3">
        <v>6.73</v>
      </c>
      <c r="G457">
        <v>1249</v>
      </c>
      <c r="H457" s="3">
        <f t="shared" si="14"/>
        <v>8405.77</v>
      </c>
      <c r="I457" s="3">
        <v>840.58</v>
      </c>
      <c r="J457" s="3">
        <v>7565.19</v>
      </c>
      <c r="K457" t="s">
        <v>25</v>
      </c>
      <c r="L457" t="s">
        <v>52</v>
      </c>
      <c r="M457" t="s">
        <v>37</v>
      </c>
      <c r="N457" t="str">
        <f t="shared" si="15"/>
        <v>Oct</v>
      </c>
    </row>
    <row r="458" spans="1:14" x14ac:dyDescent="0.3">
      <c r="A458" t="s">
        <v>966</v>
      </c>
      <c r="B458" t="s">
        <v>967</v>
      </c>
      <c r="C458" t="s">
        <v>765</v>
      </c>
      <c r="D458" t="s">
        <v>50</v>
      </c>
      <c r="E458" t="s">
        <v>51</v>
      </c>
      <c r="F458" s="3">
        <v>6.87</v>
      </c>
      <c r="G458">
        <v>722</v>
      </c>
      <c r="H458" s="3">
        <f t="shared" si="14"/>
        <v>4960.1400000000003</v>
      </c>
      <c r="I458" s="3">
        <v>496.01</v>
      </c>
      <c r="J458" s="3">
        <v>4464.13</v>
      </c>
      <c r="K458" t="s">
        <v>119</v>
      </c>
      <c r="L458" t="s">
        <v>26</v>
      </c>
      <c r="M458" t="s">
        <v>62</v>
      </c>
      <c r="N458" t="str">
        <f t="shared" si="15"/>
        <v>Nov</v>
      </c>
    </row>
    <row r="459" spans="1:14" x14ac:dyDescent="0.3">
      <c r="A459" t="s">
        <v>968</v>
      </c>
      <c r="B459" t="s">
        <v>406</v>
      </c>
      <c r="C459" t="s">
        <v>154</v>
      </c>
      <c r="D459" t="s">
        <v>135</v>
      </c>
      <c r="E459" t="s">
        <v>51</v>
      </c>
      <c r="F459" s="3">
        <v>12.88</v>
      </c>
      <c r="G459">
        <v>1141</v>
      </c>
      <c r="H459" s="3">
        <f t="shared" si="14"/>
        <v>14696.080000000002</v>
      </c>
      <c r="I459" s="3">
        <v>1469.61</v>
      </c>
      <c r="J459" s="3">
        <v>13226.47</v>
      </c>
      <c r="K459" t="s">
        <v>25</v>
      </c>
      <c r="L459" t="s">
        <v>26</v>
      </c>
      <c r="M459" t="s">
        <v>62</v>
      </c>
      <c r="N459" t="str">
        <f t="shared" si="15"/>
        <v>Jul</v>
      </c>
    </row>
    <row r="460" spans="1:14" x14ac:dyDescent="0.3">
      <c r="A460" t="s">
        <v>969</v>
      </c>
      <c r="B460" t="s">
        <v>970</v>
      </c>
      <c r="C460" t="s">
        <v>314</v>
      </c>
      <c r="D460" t="s">
        <v>46</v>
      </c>
      <c r="E460" t="s">
        <v>17</v>
      </c>
      <c r="F460" s="3">
        <v>6.16</v>
      </c>
      <c r="G460">
        <v>1397</v>
      </c>
      <c r="H460" s="3">
        <f t="shared" si="14"/>
        <v>8605.52</v>
      </c>
      <c r="I460" s="3">
        <v>430.28</v>
      </c>
      <c r="J460" s="3">
        <v>8175.24</v>
      </c>
      <c r="K460" t="s">
        <v>67</v>
      </c>
      <c r="L460" t="s">
        <v>79</v>
      </c>
      <c r="M460" t="s">
        <v>27</v>
      </c>
      <c r="N460" t="str">
        <f t="shared" si="15"/>
        <v>Apr</v>
      </c>
    </row>
    <row r="461" spans="1:14" x14ac:dyDescent="0.3">
      <c r="A461" t="s">
        <v>971</v>
      </c>
      <c r="B461" t="s">
        <v>729</v>
      </c>
      <c r="C461" t="s">
        <v>345</v>
      </c>
      <c r="D461" t="s">
        <v>41</v>
      </c>
      <c r="E461" t="s">
        <v>42</v>
      </c>
      <c r="F461" s="3">
        <v>7.98</v>
      </c>
      <c r="G461">
        <v>1188</v>
      </c>
      <c r="H461" s="3">
        <f t="shared" si="14"/>
        <v>9480.24</v>
      </c>
      <c r="I461" s="3">
        <v>1422.04</v>
      </c>
      <c r="J461" s="3">
        <v>8058.2</v>
      </c>
      <c r="K461" t="s">
        <v>25</v>
      </c>
      <c r="L461" t="s">
        <v>79</v>
      </c>
      <c r="M461" t="s">
        <v>37</v>
      </c>
      <c r="N461" t="str">
        <f t="shared" si="15"/>
        <v>Mar</v>
      </c>
    </row>
    <row r="462" spans="1:14" x14ac:dyDescent="0.3">
      <c r="A462" t="s">
        <v>972</v>
      </c>
      <c r="B462" t="s">
        <v>973</v>
      </c>
      <c r="C462" t="s">
        <v>618</v>
      </c>
      <c r="D462" t="s">
        <v>82</v>
      </c>
      <c r="E462" t="s">
        <v>24</v>
      </c>
      <c r="F462" s="3">
        <v>6.64</v>
      </c>
      <c r="G462">
        <v>128</v>
      </c>
      <c r="H462" s="3">
        <f t="shared" si="14"/>
        <v>849.92</v>
      </c>
      <c r="I462" s="3">
        <v>0</v>
      </c>
      <c r="J462" s="3">
        <v>849.92</v>
      </c>
      <c r="K462" t="s">
        <v>67</v>
      </c>
      <c r="L462" t="s">
        <v>79</v>
      </c>
      <c r="M462" t="s">
        <v>62</v>
      </c>
      <c r="N462" t="str">
        <f t="shared" si="15"/>
        <v>Jan</v>
      </c>
    </row>
    <row r="463" spans="1:14" x14ac:dyDescent="0.3">
      <c r="A463" t="s">
        <v>974</v>
      </c>
      <c r="B463" t="s">
        <v>975</v>
      </c>
      <c r="C463" t="s">
        <v>77</v>
      </c>
      <c r="D463" t="s">
        <v>35</v>
      </c>
      <c r="E463" t="s">
        <v>36</v>
      </c>
      <c r="F463" s="3">
        <v>12.83</v>
      </c>
      <c r="G463">
        <v>1434</v>
      </c>
      <c r="H463" s="3">
        <f t="shared" si="14"/>
        <v>18398.22</v>
      </c>
      <c r="I463" s="3">
        <v>1839.82</v>
      </c>
      <c r="J463" s="3">
        <v>16558.400000000001</v>
      </c>
      <c r="K463" t="s">
        <v>67</v>
      </c>
      <c r="L463" t="s">
        <v>19</v>
      </c>
      <c r="M463" t="s">
        <v>53</v>
      </c>
      <c r="N463" t="str">
        <f t="shared" si="15"/>
        <v>May</v>
      </c>
    </row>
    <row r="464" spans="1:14" x14ac:dyDescent="0.3">
      <c r="A464" t="s">
        <v>976</v>
      </c>
      <c r="B464" t="s">
        <v>813</v>
      </c>
      <c r="C464" t="s">
        <v>483</v>
      </c>
      <c r="D464" t="s">
        <v>92</v>
      </c>
      <c r="E464" t="s">
        <v>17</v>
      </c>
      <c r="F464" s="3">
        <v>11.48</v>
      </c>
      <c r="G464">
        <v>1791</v>
      </c>
      <c r="H464" s="3">
        <f t="shared" si="14"/>
        <v>20560.68</v>
      </c>
      <c r="I464" s="3">
        <v>1028.03</v>
      </c>
      <c r="J464" s="3">
        <v>19532.650000000001</v>
      </c>
      <c r="K464" t="s">
        <v>25</v>
      </c>
      <c r="L464" t="s">
        <v>52</v>
      </c>
      <c r="M464" t="s">
        <v>62</v>
      </c>
      <c r="N464" t="str">
        <f t="shared" si="15"/>
        <v>Aug</v>
      </c>
    </row>
    <row r="465" spans="1:14" x14ac:dyDescent="0.3">
      <c r="A465" t="s">
        <v>977</v>
      </c>
      <c r="B465" t="s">
        <v>179</v>
      </c>
      <c r="C465" t="s">
        <v>317</v>
      </c>
      <c r="D465" t="s">
        <v>46</v>
      </c>
      <c r="E465" t="s">
        <v>17</v>
      </c>
      <c r="F465" s="3">
        <v>10.47</v>
      </c>
      <c r="G465">
        <v>1917</v>
      </c>
      <c r="H465" s="3">
        <f t="shared" si="14"/>
        <v>20070.990000000002</v>
      </c>
      <c r="I465" s="3">
        <v>3010.65</v>
      </c>
      <c r="J465" s="3">
        <v>17060.34</v>
      </c>
      <c r="K465" t="s">
        <v>119</v>
      </c>
      <c r="L465" t="s">
        <v>52</v>
      </c>
      <c r="M465" t="s">
        <v>27</v>
      </c>
      <c r="N465" t="str">
        <f t="shared" si="15"/>
        <v>Sep</v>
      </c>
    </row>
    <row r="466" spans="1:14" x14ac:dyDescent="0.3">
      <c r="A466" t="s">
        <v>978</v>
      </c>
      <c r="B466" t="s">
        <v>657</v>
      </c>
      <c r="C466" t="s">
        <v>45</v>
      </c>
      <c r="D466" t="s">
        <v>225</v>
      </c>
      <c r="E466" t="s">
        <v>24</v>
      </c>
      <c r="F466" s="3">
        <v>11.54</v>
      </c>
      <c r="G466">
        <v>435</v>
      </c>
      <c r="H466" s="3">
        <f t="shared" si="14"/>
        <v>5019.8999999999996</v>
      </c>
      <c r="I466" s="3">
        <v>752.98</v>
      </c>
      <c r="J466" s="3">
        <v>4266.92</v>
      </c>
      <c r="K466" t="s">
        <v>67</v>
      </c>
      <c r="L466" t="s">
        <v>79</v>
      </c>
      <c r="M466" t="s">
        <v>20</v>
      </c>
      <c r="N466" t="str">
        <f t="shared" si="15"/>
        <v>Jun</v>
      </c>
    </row>
    <row r="467" spans="1:14" x14ac:dyDescent="0.3">
      <c r="A467" t="s">
        <v>979</v>
      </c>
      <c r="B467" t="s">
        <v>802</v>
      </c>
      <c r="C467" t="s">
        <v>267</v>
      </c>
      <c r="D467" t="s">
        <v>92</v>
      </c>
      <c r="E467" t="s">
        <v>36</v>
      </c>
      <c r="F467" s="3">
        <v>11.98</v>
      </c>
      <c r="G467">
        <v>1994</v>
      </c>
      <c r="H467" s="3">
        <f t="shared" si="14"/>
        <v>23888.120000000003</v>
      </c>
      <c r="I467" s="3">
        <v>1194.4100000000001</v>
      </c>
      <c r="J467" s="3">
        <v>22693.71</v>
      </c>
      <c r="K467" t="s">
        <v>61</v>
      </c>
      <c r="L467" t="s">
        <v>52</v>
      </c>
      <c r="M467" t="s">
        <v>62</v>
      </c>
      <c r="N467" t="str">
        <f t="shared" si="15"/>
        <v>Oct</v>
      </c>
    </row>
    <row r="468" spans="1:14" x14ac:dyDescent="0.3">
      <c r="A468" t="s">
        <v>980</v>
      </c>
      <c r="B468" t="s">
        <v>164</v>
      </c>
      <c r="C468" t="s">
        <v>473</v>
      </c>
      <c r="D468" t="s">
        <v>270</v>
      </c>
      <c r="E468" t="s">
        <v>36</v>
      </c>
      <c r="F468" s="3">
        <v>11.42</v>
      </c>
      <c r="G468">
        <v>264</v>
      </c>
      <c r="H468" s="3">
        <f t="shared" si="14"/>
        <v>3014.88</v>
      </c>
      <c r="I468" s="3">
        <v>452.23</v>
      </c>
      <c r="J468" s="3">
        <v>2562.65</v>
      </c>
      <c r="K468" t="s">
        <v>18</v>
      </c>
      <c r="L468" t="s">
        <v>52</v>
      </c>
      <c r="M468" t="s">
        <v>53</v>
      </c>
      <c r="N468" t="str">
        <f t="shared" si="15"/>
        <v>Dec</v>
      </c>
    </row>
    <row r="469" spans="1:14" x14ac:dyDescent="0.3">
      <c r="A469" t="s">
        <v>981</v>
      </c>
      <c r="B469" t="s">
        <v>982</v>
      </c>
      <c r="C469" t="s">
        <v>397</v>
      </c>
      <c r="D469" t="s">
        <v>71</v>
      </c>
      <c r="E469" t="s">
        <v>36</v>
      </c>
      <c r="F469" s="3">
        <v>9.3800000000000008</v>
      </c>
      <c r="G469">
        <v>542</v>
      </c>
      <c r="H469" s="3">
        <f t="shared" si="14"/>
        <v>5083.96</v>
      </c>
      <c r="I469" s="3">
        <v>0</v>
      </c>
      <c r="J469" s="3">
        <v>5083.96</v>
      </c>
      <c r="K469" t="s">
        <v>61</v>
      </c>
      <c r="L469" t="s">
        <v>52</v>
      </c>
      <c r="M469" t="s">
        <v>27</v>
      </c>
      <c r="N469" t="str">
        <f t="shared" si="15"/>
        <v>Oct</v>
      </c>
    </row>
    <row r="470" spans="1:14" x14ac:dyDescent="0.3">
      <c r="A470" t="s">
        <v>983</v>
      </c>
      <c r="B470" t="s">
        <v>472</v>
      </c>
      <c r="C470" t="s">
        <v>362</v>
      </c>
      <c r="D470" t="s">
        <v>71</v>
      </c>
      <c r="E470" t="s">
        <v>51</v>
      </c>
      <c r="F470" s="3">
        <v>9.56</v>
      </c>
      <c r="G470">
        <v>1604</v>
      </c>
      <c r="H470" s="3">
        <f t="shared" si="14"/>
        <v>15334.240000000002</v>
      </c>
      <c r="I470" s="3">
        <v>1533.42</v>
      </c>
      <c r="J470" s="3">
        <v>13800.82</v>
      </c>
      <c r="K470" t="s">
        <v>119</v>
      </c>
      <c r="L470" t="s">
        <v>79</v>
      </c>
      <c r="M470" t="s">
        <v>93</v>
      </c>
      <c r="N470" t="str">
        <f t="shared" si="15"/>
        <v>Mar</v>
      </c>
    </row>
    <row r="471" spans="1:14" x14ac:dyDescent="0.3">
      <c r="A471" t="s">
        <v>984</v>
      </c>
      <c r="B471" t="s">
        <v>901</v>
      </c>
      <c r="C471" t="s">
        <v>637</v>
      </c>
      <c r="D471" t="s">
        <v>135</v>
      </c>
      <c r="E471" t="s">
        <v>36</v>
      </c>
      <c r="F471" s="3">
        <v>14.42</v>
      </c>
      <c r="G471">
        <v>1086</v>
      </c>
      <c r="H471" s="3">
        <f t="shared" si="14"/>
        <v>15660.12</v>
      </c>
      <c r="I471" s="3">
        <v>0</v>
      </c>
      <c r="J471" s="3">
        <v>15660.12</v>
      </c>
      <c r="K471" t="s">
        <v>25</v>
      </c>
      <c r="L471" t="s">
        <v>26</v>
      </c>
      <c r="M471" t="s">
        <v>37</v>
      </c>
      <c r="N471" t="str">
        <f t="shared" si="15"/>
        <v>Dec</v>
      </c>
    </row>
    <row r="472" spans="1:14" x14ac:dyDescent="0.3">
      <c r="A472" t="s">
        <v>985</v>
      </c>
      <c r="B472" t="s">
        <v>601</v>
      </c>
      <c r="C472" t="s">
        <v>496</v>
      </c>
      <c r="D472" t="s">
        <v>66</v>
      </c>
      <c r="E472" t="s">
        <v>24</v>
      </c>
      <c r="F472" s="3">
        <v>6.22</v>
      </c>
      <c r="G472">
        <v>1829</v>
      </c>
      <c r="H472" s="3">
        <f t="shared" si="14"/>
        <v>11376.38</v>
      </c>
      <c r="I472" s="3">
        <v>568.82000000000005</v>
      </c>
      <c r="J472" s="3">
        <v>10807.56</v>
      </c>
      <c r="K472" t="s">
        <v>61</v>
      </c>
      <c r="L472" t="s">
        <v>79</v>
      </c>
      <c r="M472" t="s">
        <v>53</v>
      </c>
      <c r="N472" t="str">
        <f t="shared" si="15"/>
        <v>Oct</v>
      </c>
    </row>
    <row r="473" spans="1:14" x14ac:dyDescent="0.3">
      <c r="A473" t="s">
        <v>986</v>
      </c>
      <c r="B473" t="s">
        <v>347</v>
      </c>
      <c r="C473" t="s">
        <v>428</v>
      </c>
      <c r="D473" t="s">
        <v>92</v>
      </c>
      <c r="E473" t="s">
        <v>42</v>
      </c>
      <c r="F473" s="3">
        <v>7.91</v>
      </c>
      <c r="G473">
        <v>1169</v>
      </c>
      <c r="H473" s="3">
        <f t="shared" si="14"/>
        <v>9246.7900000000009</v>
      </c>
      <c r="I473" s="3">
        <v>0</v>
      </c>
      <c r="J473" s="3">
        <v>9246.7900000000009</v>
      </c>
      <c r="K473" t="s">
        <v>18</v>
      </c>
      <c r="L473" t="s">
        <v>79</v>
      </c>
      <c r="M473" t="s">
        <v>37</v>
      </c>
      <c r="N473" t="str">
        <f t="shared" si="15"/>
        <v>May</v>
      </c>
    </row>
    <row r="474" spans="1:14" x14ac:dyDescent="0.3">
      <c r="A474" t="s">
        <v>987</v>
      </c>
      <c r="B474" t="s">
        <v>95</v>
      </c>
      <c r="C474" t="s">
        <v>642</v>
      </c>
      <c r="D474" t="s">
        <v>92</v>
      </c>
      <c r="E474" t="s">
        <v>42</v>
      </c>
      <c r="F474" s="3">
        <v>4.79</v>
      </c>
      <c r="G474">
        <v>101</v>
      </c>
      <c r="H474" s="3">
        <f t="shared" si="14"/>
        <v>483.79</v>
      </c>
      <c r="I474" s="3">
        <v>48.38</v>
      </c>
      <c r="J474" s="3">
        <v>435.41</v>
      </c>
      <c r="K474" t="s">
        <v>119</v>
      </c>
      <c r="L474" t="s">
        <v>19</v>
      </c>
      <c r="M474" t="s">
        <v>37</v>
      </c>
      <c r="N474" t="str">
        <f t="shared" si="15"/>
        <v>May</v>
      </c>
    </row>
    <row r="475" spans="1:14" x14ac:dyDescent="0.3">
      <c r="A475" t="s">
        <v>988</v>
      </c>
      <c r="B475" t="s">
        <v>366</v>
      </c>
      <c r="C475" t="s">
        <v>214</v>
      </c>
      <c r="D475" t="s">
        <v>46</v>
      </c>
      <c r="E475" t="s">
        <v>24</v>
      </c>
      <c r="F475" s="3">
        <v>13.8</v>
      </c>
      <c r="G475">
        <v>1703</v>
      </c>
      <c r="H475" s="3">
        <f t="shared" si="14"/>
        <v>23501.4</v>
      </c>
      <c r="I475" s="3">
        <v>2350.14</v>
      </c>
      <c r="J475" s="3">
        <v>21151.26</v>
      </c>
      <c r="K475" t="s">
        <v>25</v>
      </c>
      <c r="L475" t="s">
        <v>52</v>
      </c>
      <c r="M475" t="s">
        <v>37</v>
      </c>
      <c r="N475" t="str">
        <f t="shared" si="15"/>
        <v>May</v>
      </c>
    </row>
    <row r="476" spans="1:14" x14ac:dyDescent="0.3">
      <c r="A476" t="s">
        <v>989</v>
      </c>
      <c r="B476" t="s">
        <v>504</v>
      </c>
      <c r="C476" t="s">
        <v>990</v>
      </c>
      <c r="D476" t="s">
        <v>155</v>
      </c>
      <c r="E476" t="s">
        <v>51</v>
      </c>
      <c r="F476" s="3">
        <v>8.44</v>
      </c>
      <c r="G476">
        <v>1961</v>
      </c>
      <c r="H476" s="3">
        <f t="shared" si="14"/>
        <v>16550.84</v>
      </c>
      <c r="I476" s="3">
        <v>0</v>
      </c>
      <c r="J476" s="3">
        <v>16550.84</v>
      </c>
      <c r="K476" t="s">
        <v>67</v>
      </c>
      <c r="L476" t="s">
        <v>19</v>
      </c>
      <c r="M476" t="s">
        <v>27</v>
      </c>
      <c r="N476" t="str">
        <f t="shared" si="15"/>
        <v>Jan</v>
      </c>
    </row>
    <row r="477" spans="1:14" x14ac:dyDescent="0.3">
      <c r="A477" t="s">
        <v>991</v>
      </c>
      <c r="B477" t="s">
        <v>992</v>
      </c>
      <c r="C477" t="s">
        <v>847</v>
      </c>
      <c r="D477" t="s">
        <v>155</v>
      </c>
      <c r="E477" t="s">
        <v>17</v>
      </c>
      <c r="F477" s="3">
        <v>7.23</v>
      </c>
      <c r="G477">
        <v>232</v>
      </c>
      <c r="H477" s="3">
        <f t="shared" si="14"/>
        <v>1677.3600000000001</v>
      </c>
      <c r="I477" s="3">
        <v>83.87</v>
      </c>
      <c r="J477" s="3">
        <v>1593.49</v>
      </c>
      <c r="K477" t="s">
        <v>25</v>
      </c>
      <c r="L477" t="s">
        <v>52</v>
      </c>
      <c r="M477" t="s">
        <v>27</v>
      </c>
      <c r="N477" t="str">
        <f t="shared" si="15"/>
        <v>Feb</v>
      </c>
    </row>
    <row r="478" spans="1:14" x14ac:dyDescent="0.3">
      <c r="A478" t="s">
        <v>993</v>
      </c>
      <c r="B478" t="s">
        <v>994</v>
      </c>
      <c r="C478" t="s">
        <v>502</v>
      </c>
      <c r="D478" t="s">
        <v>71</v>
      </c>
      <c r="E478" t="s">
        <v>24</v>
      </c>
      <c r="F478" s="3">
        <v>7.7</v>
      </c>
      <c r="G478">
        <v>699</v>
      </c>
      <c r="H478" s="3">
        <f t="shared" si="14"/>
        <v>5382.3</v>
      </c>
      <c r="I478" s="3">
        <v>0</v>
      </c>
      <c r="J478" s="3">
        <v>5382.3</v>
      </c>
      <c r="K478" t="s">
        <v>18</v>
      </c>
      <c r="L478" t="s">
        <v>19</v>
      </c>
      <c r="M478" t="s">
        <v>93</v>
      </c>
      <c r="N478" t="str">
        <f t="shared" si="15"/>
        <v>Feb</v>
      </c>
    </row>
    <row r="479" spans="1:14" x14ac:dyDescent="0.3">
      <c r="A479" t="s">
        <v>995</v>
      </c>
      <c r="B479" t="s">
        <v>176</v>
      </c>
      <c r="C479" t="s">
        <v>264</v>
      </c>
      <c r="D479" t="s">
        <v>31</v>
      </c>
      <c r="E479" t="s">
        <v>24</v>
      </c>
      <c r="F479" s="3">
        <v>9.26</v>
      </c>
      <c r="G479">
        <v>486</v>
      </c>
      <c r="H479" s="3">
        <f t="shared" si="14"/>
        <v>4500.3599999999997</v>
      </c>
      <c r="I479" s="3">
        <v>450.04</v>
      </c>
      <c r="J479" s="3">
        <v>4050.32</v>
      </c>
      <c r="K479" t="s">
        <v>119</v>
      </c>
      <c r="L479" t="s">
        <v>52</v>
      </c>
      <c r="M479" t="s">
        <v>37</v>
      </c>
      <c r="N479" t="str">
        <f t="shared" si="15"/>
        <v>Apr</v>
      </c>
    </row>
    <row r="480" spans="1:14" x14ac:dyDescent="0.3">
      <c r="A480" t="s">
        <v>996</v>
      </c>
      <c r="B480" t="s">
        <v>997</v>
      </c>
      <c r="C480" t="s">
        <v>916</v>
      </c>
      <c r="D480" t="s">
        <v>78</v>
      </c>
      <c r="E480" t="s">
        <v>51</v>
      </c>
      <c r="F480" s="3">
        <v>1.73</v>
      </c>
      <c r="G480">
        <v>1398</v>
      </c>
      <c r="H480" s="3">
        <f t="shared" si="14"/>
        <v>2418.54</v>
      </c>
      <c r="I480" s="3">
        <v>0</v>
      </c>
      <c r="J480" s="3">
        <v>2418.54</v>
      </c>
      <c r="K480" t="s">
        <v>25</v>
      </c>
      <c r="L480" t="s">
        <v>19</v>
      </c>
      <c r="M480" t="s">
        <v>27</v>
      </c>
      <c r="N480" t="str">
        <f t="shared" si="15"/>
        <v>Nov</v>
      </c>
    </row>
    <row r="481" spans="1:14" x14ac:dyDescent="0.3">
      <c r="A481" t="s">
        <v>998</v>
      </c>
      <c r="B481" t="s">
        <v>424</v>
      </c>
      <c r="C481" t="s">
        <v>999</v>
      </c>
      <c r="D481" t="s">
        <v>107</v>
      </c>
      <c r="E481" t="s">
        <v>24</v>
      </c>
      <c r="F481" s="3">
        <v>10.96</v>
      </c>
      <c r="G481">
        <v>168</v>
      </c>
      <c r="H481" s="3">
        <f t="shared" si="14"/>
        <v>1841.2800000000002</v>
      </c>
      <c r="I481" s="3">
        <v>184.13</v>
      </c>
      <c r="J481" s="3">
        <v>1657.15</v>
      </c>
      <c r="K481" t="s">
        <v>25</v>
      </c>
      <c r="L481" t="s">
        <v>19</v>
      </c>
      <c r="M481" t="s">
        <v>53</v>
      </c>
      <c r="N481" t="str">
        <f t="shared" si="15"/>
        <v>Nov</v>
      </c>
    </row>
    <row r="482" spans="1:14" x14ac:dyDescent="0.3">
      <c r="A482" t="s">
        <v>1000</v>
      </c>
      <c r="B482" t="s">
        <v>771</v>
      </c>
      <c r="C482" t="s">
        <v>1001</v>
      </c>
      <c r="D482" t="s">
        <v>92</v>
      </c>
      <c r="E482" t="s">
        <v>24</v>
      </c>
      <c r="F482" s="3">
        <v>5.3</v>
      </c>
      <c r="G482">
        <v>1917</v>
      </c>
      <c r="H482" s="3">
        <f t="shared" si="14"/>
        <v>10160.1</v>
      </c>
      <c r="I482" s="3">
        <v>1524.02</v>
      </c>
      <c r="J482" s="3">
        <v>8636.08</v>
      </c>
      <c r="K482" t="s">
        <v>119</v>
      </c>
      <c r="L482" t="s">
        <v>52</v>
      </c>
      <c r="M482" t="s">
        <v>27</v>
      </c>
      <c r="N482" t="str">
        <f t="shared" si="15"/>
        <v>Dec</v>
      </c>
    </row>
    <row r="483" spans="1:14" x14ac:dyDescent="0.3">
      <c r="A483" t="s">
        <v>1002</v>
      </c>
      <c r="B483" t="s">
        <v>685</v>
      </c>
      <c r="C483" t="s">
        <v>100</v>
      </c>
      <c r="D483" t="s">
        <v>270</v>
      </c>
      <c r="E483" t="s">
        <v>42</v>
      </c>
      <c r="F483" s="3">
        <v>4.47</v>
      </c>
      <c r="G483">
        <v>1549</v>
      </c>
      <c r="H483" s="3">
        <f t="shared" si="14"/>
        <v>6924.03</v>
      </c>
      <c r="I483" s="3">
        <v>1038.5999999999999</v>
      </c>
      <c r="J483" s="3">
        <v>5885.43</v>
      </c>
      <c r="K483" t="s">
        <v>25</v>
      </c>
      <c r="L483" t="s">
        <v>79</v>
      </c>
      <c r="M483" t="s">
        <v>27</v>
      </c>
      <c r="N483" t="str">
        <f t="shared" si="15"/>
        <v>Jan</v>
      </c>
    </row>
    <row r="484" spans="1:14" x14ac:dyDescent="0.3">
      <c r="A484" t="s">
        <v>1003</v>
      </c>
      <c r="B484" t="s">
        <v>517</v>
      </c>
      <c r="C484" t="s">
        <v>151</v>
      </c>
      <c r="D484" t="s">
        <v>41</v>
      </c>
      <c r="E484" t="s">
        <v>24</v>
      </c>
      <c r="F484" s="3">
        <v>8.9700000000000006</v>
      </c>
      <c r="G484">
        <v>1156</v>
      </c>
      <c r="H484" s="3">
        <f t="shared" si="14"/>
        <v>10369.320000000002</v>
      </c>
      <c r="I484" s="3">
        <v>518.47</v>
      </c>
      <c r="J484" s="3">
        <v>9850.85</v>
      </c>
      <c r="K484" t="s">
        <v>18</v>
      </c>
      <c r="L484" t="s">
        <v>19</v>
      </c>
      <c r="M484" t="s">
        <v>93</v>
      </c>
      <c r="N484" t="str">
        <f t="shared" si="15"/>
        <v>Mar</v>
      </c>
    </row>
    <row r="485" spans="1:14" x14ac:dyDescent="0.3">
      <c r="A485" t="s">
        <v>1004</v>
      </c>
      <c r="B485" t="s">
        <v>1005</v>
      </c>
      <c r="C485" t="s">
        <v>294</v>
      </c>
      <c r="D485" t="s">
        <v>66</v>
      </c>
      <c r="E485" t="s">
        <v>42</v>
      </c>
      <c r="F485" s="3">
        <v>8.89</v>
      </c>
      <c r="G485">
        <v>194</v>
      </c>
      <c r="H485" s="3">
        <f t="shared" si="14"/>
        <v>1724.66</v>
      </c>
      <c r="I485" s="3">
        <v>172.47</v>
      </c>
      <c r="J485" s="3">
        <v>1552.19</v>
      </c>
      <c r="K485" t="s">
        <v>67</v>
      </c>
      <c r="L485" t="s">
        <v>79</v>
      </c>
      <c r="M485" t="s">
        <v>62</v>
      </c>
      <c r="N485" t="str">
        <f t="shared" si="15"/>
        <v>Oct</v>
      </c>
    </row>
    <row r="486" spans="1:14" x14ac:dyDescent="0.3">
      <c r="A486" t="s">
        <v>1006</v>
      </c>
      <c r="B486" t="s">
        <v>406</v>
      </c>
      <c r="C486" t="s">
        <v>1007</v>
      </c>
      <c r="D486" t="s">
        <v>135</v>
      </c>
      <c r="E486" t="s">
        <v>36</v>
      </c>
      <c r="F486" s="3">
        <v>3.67</v>
      </c>
      <c r="G486">
        <v>472</v>
      </c>
      <c r="H486" s="3">
        <f t="shared" si="14"/>
        <v>1732.24</v>
      </c>
      <c r="I486" s="3">
        <v>173.22</v>
      </c>
      <c r="J486" s="3">
        <v>1559.02</v>
      </c>
      <c r="K486" t="s">
        <v>67</v>
      </c>
      <c r="L486" t="s">
        <v>19</v>
      </c>
      <c r="M486" t="s">
        <v>62</v>
      </c>
      <c r="N486" t="str">
        <f t="shared" si="15"/>
        <v>Jul</v>
      </c>
    </row>
    <row r="487" spans="1:14" x14ac:dyDescent="0.3">
      <c r="A487" t="s">
        <v>1008</v>
      </c>
      <c r="B487" t="s">
        <v>380</v>
      </c>
      <c r="C487" t="s">
        <v>96</v>
      </c>
      <c r="D487" t="s">
        <v>225</v>
      </c>
      <c r="E487" t="s">
        <v>42</v>
      </c>
      <c r="F487" s="3">
        <v>7.73</v>
      </c>
      <c r="G487">
        <v>1145</v>
      </c>
      <c r="H487" s="3">
        <f t="shared" si="14"/>
        <v>8850.85</v>
      </c>
      <c r="I487" s="3">
        <v>0</v>
      </c>
      <c r="J487" s="3">
        <v>8850.85</v>
      </c>
      <c r="K487" t="s">
        <v>61</v>
      </c>
      <c r="L487" t="s">
        <v>19</v>
      </c>
      <c r="M487" t="s">
        <v>53</v>
      </c>
      <c r="N487" t="str">
        <f t="shared" si="15"/>
        <v>Dec</v>
      </c>
    </row>
    <row r="488" spans="1:14" x14ac:dyDescent="0.3">
      <c r="A488" t="s">
        <v>1009</v>
      </c>
      <c r="B488" t="s">
        <v>344</v>
      </c>
      <c r="C488" t="s">
        <v>448</v>
      </c>
      <c r="D488" t="s">
        <v>107</v>
      </c>
      <c r="E488" t="s">
        <v>32</v>
      </c>
      <c r="F488" s="3">
        <v>14.35</v>
      </c>
      <c r="G488">
        <v>751</v>
      </c>
      <c r="H488" s="3">
        <f t="shared" si="14"/>
        <v>10776.85</v>
      </c>
      <c r="I488" s="3">
        <v>538.84</v>
      </c>
      <c r="J488" s="3">
        <v>10238.01</v>
      </c>
      <c r="K488" t="s">
        <v>67</v>
      </c>
      <c r="L488" t="s">
        <v>19</v>
      </c>
      <c r="M488" t="s">
        <v>53</v>
      </c>
      <c r="N488" t="str">
        <f t="shared" si="15"/>
        <v>Feb</v>
      </c>
    </row>
    <row r="489" spans="1:14" x14ac:dyDescent="0.3">
      <c r="A489" t="s">
        <v>1010</v>
      </c>
      <c r="B489" t="s">
        <v>955</v>
      </c>
      <c r="C489" t="s">
        <v>183</v>
      </c>
      <c r="D489" t="s">
        <v>155</v>
      </c>
      <c r="E489" t="s">
        <v>51</v>
      </c>
      <c r="F489" s="3">
        <v>8.06</v>
      </c>
      <c r="G489">
        <v>692</v>
      </c>
      <c r="H489" s="3">
        <f t="shared" si="14"/>
        <v>5577.52</v>
      </c>
      <c r="I489" s="3">
        <v>557.75</v>
      </c>
      <c r="J489" s="3">
        <v>5019.7700000000004</v>
      </c>
      <c r="K489" t="s">
        <v>25</v>
      </c>
      <c r="L489" t="s">
        <v>26</v>
      </c>
      <c r="M489" t="s">
        <v>20</v>
      </c>
      <c r="N489" t="str">
        <f t="shared" si="15"/>
        <v>Nov</v>
      </c>
    </row>
    <row r="490" spans="1:14" x14ac:dyDescent="0.3">
      <c r="A490" t="s">
        <v>1011</v>
      </c>
      <c r="B490" t="s">
        <v>678</v>
      </c>
      <c r="C490" t="s">
        <v>723</v>
      </c>
      <c r="D490" t="s">
        <v>110</v>
      </c>
      <c r="E490" t="s">
        <v>32</v>
      </c>
      <c r="F490" s="3">
        <v>3.78</v>
      </c>
      <c r="G490">
        <v>661</v>
      </c>
      <c r="H490" s="3">
        <f t="shared" si="14"/>
        <v>2498.58</v>
      </c>
      <c r="I490" s="3">
        <v>124.93</v>
      </c>
      <c r="J490" s="3">
        <v>2373.65</v>
      </c>
      <c r="K490" t="s">
        <v>67</v>
      </c>
      <c r="L490" t="s">
        <v>52</v>
      </c>
      <c r="M490" t="s">
        <v>53</v>
      </c>
      <c r="N490" t="str">
        <f t="shared" si="15"/>
        <v>Oct</v>
      </c>
    </row>
    <row r="491" spans="1:14" x14ac:dyDescent="0.3">
      <c r="A491" t="s">
        <v>1012</v>
      </c>
      <c r="B491" t="s">
        <v>791</v>
      </c>
      <c r="C491" t="s">
        <v>556</v>
      </c>
      <c r="D491" t="s">
        <v>110</v>
      </c>
      <c r="E491" t="s">
        <v>32</v>
      </c>
      <c r="F491" s="3">
        <v>7.75</v>
      </c>
      <c r="G491">
        <v>754</v>
      </c>
      <c r="H491" s="3">
        <f t="shared" si="14"/>
        <v>5843.5</v>
      </c>
      <c r="I491" s="3">
        <v>584.35</v>
      </c>
      <c r="J491" s="3">
        <v>5259.15</v>
      </c>
      <c r="K491" t="s">
        <v>119</v>
      </c>
      <c r="L491" t="s">
        <v>19</v>
      </c>
      <c r="M491" t="s">
        <v>62</v>
      </c>
      <c r="N491" t="str">
        <f t="shared" si="15"/>
        <v>Jul</v>
      </c>
    </row>
    <row r="492" spans="1:14" x14ac:dyDescent="0.3">
      <c r="A492" t="s">
        <v>1013</v>
      </c>
      <c r="B492" t="s">
        <v>361</v>
      </c>
      <c r="C492" t="s">
        <v>236</v>
      </c>
      <c r="D492" t="s">
        <v>97</v>
      </c>
      <c r="E492" t="s">
        <v>51</v>
      </c>
      <c r="F492" s="3">
        <v>13.09</v>
      </c>
      <c r="G492">
        <v>306</v>
      </c>
      <c r="H492" s="3">
        <f t="shared" si="14"/>
        <v>4005.54</v>
      </c>
      <c r="I492" s="3">
        <v>200.28</v>
      </c>
      <c r="J492" s="3">
        <v>3805.26</v>
      </c>
      <c r="K492" t="s">
        <v>61</v>
      </c>
      <c r="L492" t="s">
        <v>19</v>
      </c>
      <c r="M492" t="s">
        <v>27</v>
      </c>
      <c r="N492" t="str">
        <f t="shared" si="15"/>
        <v>Nov</v>
      </c>
    </row>
    <row r="493" spans="1:14" x14ac:dyDescent="0.3">
      <c r="A493" t="s">
        <v>1014</v>
      </c>
      <c r="B493" t="s">
        <v>751</v>
      </c>
      <c r="C493" t="s">
        <v>681</v>
      </c>
      <c r="D493" t="s">
        <v>135</v>
      </c>
      <c r="E493" t="s">
        <v>17</v>
      </c>
      <c r="F493" s="3">
        <v>1.92</v>
      </c>
      <c r="G493">
        <v>1211</v>
      </c>
      <c r="H493" s="3">
        <f t="shared" si="14"/>
        <v>2325.12</v>
      </c>
      <c r="I493" s="3">
        <v>348.77</v>
      </c>
      <c r="J493" s="3">
        <v>1976.35</v>
      </c>
      <c r="K493" t="s">
        <v>25</v>
      </c>
      <c r="L493" t="s">
        <v>26</v>
      </c>
      <c r="M493" t="s">
        <v>93</v>
      </c>
      <c r="N493" t="str">
        <f t="shared" si="15"/>
        <v>Feb</v>
      </c>
    </row>
    <row r="494" spans="1:14" x14ac:dyDescent="0.3">
      <c r="A494" t="s">
        <v>1015</v>
      </c>
      <c r="B494" t="s">
        <v>323</v>
      </c>
      <c r="C494" t="s">
        <v>710</v>
      </c>
      <c r="D494" t="s">
        <v>31</v>
      </c>
      <c r="E494" t="s">
        <v>42</v>
      </c>
      <c r="F494" s="3">
        <v>7.87</v>
      </c>
      <c r="G494">
        <v>1607</v>
      </c>
      <c r="H494" s="3">
        <f t="shared" si="14"/>
        <v>12647.09</v>
      </c>
      <c r="I494" s="3">
        <v>632.35</v>
      </c>
      <c r="J494" s="3">
        <v>12014.74</v>
      </c>
      <c r="K494" t="s">
        <v>61</v>
      </c>
      <c r="L494" t="s">
        <v>52</v>
      </c>
      <c r="M494" t="s">
        <v>62</v>
      </c>
      <c r="N494" t="str">
        <f t="shared" si="15"/>
        <v>Oct</v>
      </c>
    </row>
    <row r="495" spans="1:14" x14ac:dyDescent="0.3">
      <c r="A495" t="s">
        <v>1016</v>
      </c>
      <c r="B495" t="s">
        <v>873</v>
      </c>
      <c r="C495" t="s">
        <v>249</v>
      </c>
      <c r="D495" t="s">
        <v>46</v>
      </c>
      <c r="E495" t="s">
        <v>36</v>
      </c>
      <c r="F495" s="3">
        <v>7.77</v>
      </c>
      <c r="G495">
        <v>1065</v>
      </c>
      <c r="H495" s="3">
        <f t="shared" si="14"/>
        <v>8275.0499999999993</v>
      </c>
      <c r="I495" s="3">
        <v>0</v>
      </c>
      <c r="J495" s="3">
        <v>8275.0499999999993</v>
      </c>
      <c r="K495" t="s">
        <v>119</v>
      </c>
      <c r="L495" t="s">
        <v>79</v>
      </c>
      <c r="M495" t="s">
        <v>20</v>
      </c>
      <c r="N495" t="str">
        <f t="shared" si="15"/>
        <v>Oct</v>
      </c>
    </row>
    <row r="496" spans="1:14" x14ac:dyDescent="0.3">
      <c r="A496" t="s">
        <v>1017</v>
      </c>
      <c r="B496" t="s">
        <v>81</v>
      </c>
      <c r="C496" t="s">
        <v>395</v>
      </c>
      <c r="D496" t="s">
        <v>50</v>
      </c>
      <c r="E496" t="s">
        <v>42</v>
      </c>
      <c r="F496" s="3">
        <v>10.74</v>
      </c>
      <c r="G496">
        <v>1570</v>
      </c>
      <c r="H496" s="3">
        <f t="shared" si="14"/>
        <v>16861.8</v>
      </c>
      <c r="I496" s="3">
        <v>843.09</v>
      </c>
      <c r="J496" s="3">
        <v>16018.71</v>
      </c>
      <c r="K496" t="s">
        <v>119</v>
      </c>
      <c r="L496" t="s">
        <v>26</v>
      </c>
      <c r="M496" t="s">
        <v>62</v>
      </c>
      <c r="N496" t="str">
        <f t="shared" si="15"/>
        <v>Jan</v>
      </c>
    </row>
    <row r="497" spans="1:14" x14ac:dyDescent="0.3">
      <c r="A497" t="s">
        <v>1018</v>
      </c>
      <c r="B497" t="s">
        <v>1019</v>
      </c>
      <c r="C497" t="s">
        <v>146</v>
      </c>
      <c r="D497" t="s">
        <v>71</v>
      </c>
      <c r="E497" t="s">
        <v>17</v>
      </c>
      <c r="F497" s="3">
        <v>11.38</v>
      </c>
      <c r="G497">
        <v>1943</v>
      </c>
      <c r="H497" s="3">
        <f t="shared" si="14"/>
        <v>22111.34</v>
      </c>
      <c r="I497" s="3">
        <v>2211.13</v>
      </c>
      <c r="J497" s="3">
        <v>19900.21</v>
      </c>
      <c r="K497" t="s">
        <v>18</v>
      </c>
      <c r="L497" t="s">
        <v>26</v>
      </c>
      <c r="M497" t="s">
        <v>37</v>
      </c>
      <c r="N497" t="str">
        <f t="shared" si="15"/>
        <v>Oct</v>
      </c>
    </row>
    <row r="498" spans="1:14" x14ac:dyDescent="0.3">
      <c r="A498" t="s">
        <v>1020</v>
      </c>
      <c r="B498" t="s">
        <v>1021</v>
      </c>
      <c r="C498" t="s">
        <v>999</v>
      </c>
      <c r="D498" t="s">
        <v>35</v>
      </c>
      <c r="E498" t="s">
        <v>51</v>
      </c>
      <c r="F498" s="3">
        <v>4.66</v>
      </c>
      <c r="G498">
        <v>1389</v>
      </c>
      <c r="H498" s="3">
        <f t="shared" si="14"/>
        <v>6472.74</v>
      </c>
      <c r="I498" s="3">
        <v>323.64</v>
      </c>
      <c r="J498" s="3">
        <v>6149.1</v>
      </c>
      <c r="K498" t="s">
        <v>25</v>
      </c>
      <c r="L498" t="s">
        <v>79</v>
      </c>
      <c r="M498" t="s">
        <v>37</v>
      </c>
      <c r="N498" t="str">
        <f t="shared" si="15"/>
        <v>Apr</v>
      </c>
    </row>
    <row r="499" spans="1:14" x14ac:dyDescent="0.3">
      <c r="A499" t="s">
        <v>1022</v>
      </c>
      <c r="B499" t="s">
        <v>302</v>
      </c>
      <c r="C499" t="s">
        <v>338</v>
      </c>
      <c r="D499" t="s">
        <v>225</v>
      </c>
      <c r="E499" t="s">
        <v>24</v>
      </c>
      <c r="F499" s="3">
        <v>14.74</v>
      </c>
      <c r="G499">
        <v>683</v>
      </c>
      <c r="H499" s="3">
        <f t="shared" si="14"/>
        <v>10067.42</v>
      </c>
      <c r="I499" s="3">
        <v>0</v>
      </c>
      <c r="J499" s="3">
        <v>10067.42</v>
      </c>
      <c r="K499" t="s">
        <v>25</v>
      </c>
      <c r="L499" t="s">
        <v>79</v>
      </c>
      <c r="M499" t="s">
        <v>27</v>
      </c>
      <c r="N499" t="str">
        <f t="shared" si="15"/>
        <v>Aug</v>
      </c>
    </row>
    <row r="500" spans="1:14" x14ac:dyDescent="0.3">
      <c r="A500" t="s">
        <v>1023</v>
      </c>
      <c r="B500" t="s">
        <v>1024</v>
      </c>
      <c r="C500" t="s">
        <v>177</v>
      </c>
      <c r="D500" t="s">
        <v>31</v>
      </c>
      <c r="E500" t="s">
        <v>42</v>
      </c>
      <c r="F500" s="3">
        <v>3.85</v>
      </c>
      <c r="G500">
        <v>1358</v>
      </c>
      <c r="H500" s="3">
        <f t="shared" si="14"/>
        <v>5228.3</v>
      </c>
      <c r="I500" s="3">
        <v>784.25</v>
      </c>
      <c r="J500" s="3">
        <v>4444.05</v>
      </c>
      <c r="K500" t="s">
        <v>61</v>
      </c>
      <c r="L500" t="s">
        <v>19</v>
      </c>
      <c r="M500" t="s">
        <v>20</v>
      </c>
      <c r="N500" t="str">
        <f t="shared" si="15"/>
        <v>May</v>
      </c>
    </row>
    <row r="501" spans="1:14" x14ac:dyDescent="0.3">
      <c r="A501" t="s">
        <v>1025</v>
      </c>
      <c r="B501" t="s">
        <v>1026</v>
      </c>
      <c r="C501" t="s">
        <v>469</v>
      </c>
      <c r="D501" t="s">
        <v>50</v>
      </c>
      <c r="E501" t="s">
        <v>42</v>
      </c>
      <c r="F501" s="3">
        <v>6.98</v>
      </c>
      <c r="G501">
        <v>1693</v>
      </c>
      <c r="H501" s="3">
        <f t="shared" si="14"/>
        <v>11817.140000000001</v>
      </c>
      <c r="I501" s="3">
        <v>1181.71</v>
      </c>
      <c r="J501" s="3">
        <v>10635.43</v>
      </c>
      <c r="K501" t="s">
        <v>119</v>
      </c>
      <c r="L501" t="s">
        <v>52</v>
      </c>
      <c r="M501" t="s">
        <v>20</v>
      </c>
      <c r="N501" t="str">
        <f t="shared" si="15"/>
        <v>May</v>
      </c>
    </row>
    <row r="502" spans="1:14" x14ac:dyDescent="0.3">
      <c r="A502" t="s">
        <v>1027</v>
      </c>
      <c r="B502" t="s">
        <v>1028</v>
      </c>
      <c r="C502" t="s">
        <v>134</v>
      </c>
      <c r="D502" t="s">
        <v>71</v>
      </c>
      <c r="E502" t="s">
        <v>32</v>
      </c>
      <c r="F502" s="3">
        <v>3.74</v>
      </c>
      <c r="G502">
        <v>177</v>
      </c>
      <c r="H502" s="3">
        <f t="shared" si="14"/>
        <v>661.98</v>
      </c>
      <c r="I502" s="3">
        <v>66.2</v>
      </c>
      <c r="J502" s="3">
        <v>595.78</v>
      </c>
      <c r="K502" t="s">
        <v>67</v>
      </c>
      <c r="L502" t="s">
        <v>26</v>
      </c>
      <c r="M502" t="s">
        <v>62</v>
      </c>
      <c r="N502" t="str">
        <f t="shared" si="15"/>
        <v>Jan</v>
      </c>
    </row>
    <row r="503" spans="1:14" x14ac:dyDescent="0.3">
      <c r="A503" t="s">
        <v>1029</v>
      </c>
      <c r="B503" t="s">
        <v>422</v>
      </c>
      <c r="C503" t="s">
        <v>74</v>
      </c>
      <c r="D503" t="s">
        <v>92</v>
      </c>
      <c r="E503" t="s">
        <v>17</v>
      </c>
      <c r="F503" s="3">
        <v>12.53</v>
      </c>
      <c r="G503">
        <v>1373</v>
      </c>
      <c r="H503" s="3">
        <f t="shared" si="14"/>
        <v>17203.689999999999</v>
      </c>
      <c r="I503" s="3">
        <v>860.18</v>
      </c>
      <c r="J503" s="3">
        <v>16343.51</v>
      </c>
      <c r="K503" t="s">
        <v>119</v>
      </c>
      <c r="L503" t="s">
        <v>79</v>
      </c>
      <c r="M503" t="s">
        <v>27</v>
      </c>
      <c r="N503" t="str">
        <f t="shared" si="15"/>
        <v>Mar</v>
      </c>
    </row>
    <row r="504" spans="1:14" x14ac:dyDescent="0.3">
      <c r="A504" t="s">
        <v>1030</v>
      </c>
      <c r="B504" t="s">
        <v>290</v>
      </c>
      <c r="C504" t="s">
        <v>355</v>
      </c>
      <c r="D504" t="s">
        <v>114</v>
      </c>
      <c r="E504" t="s">
        <v>32</v>
      </c>
      <c r="F504" s="3">
        <v>4.34</v>
      </c>
      <c r="G504">
        <v>350</v>
      </c>
      <c r="H504" s="3">
        <f t="shared" si="14"/>
        <v>1519</v>
      </c>
      <c r="I504" s="3">
        <v>227.85</v>
      </c>
      <c r="J504" s="3">
        <v>1291.1500000000001</v>
      </c>
      <c r="K504" t="s">
        <v>18</v>
      </c>
      <c r="L504" t="s">
        <v>26</v>
      </c>
      <c r="M504" t="s">
        <v>93</v>
      </c>
      <c r="N504" t="str">
        <f t="shared" si="15"/>
        <v>Feb</v>
      </c>
    </row>
    <row r="505" spans="1:14" x14ac:dyDescent="0.3">
      <c r="A505" t="s">
        <v>1031</v>
      </c>
      <c r="B505" t="s">
        <v>1032</v>
      </c>
      <c r="C505" t="s">
        <v>332</v>
      </c>
      <c r="D505" t="s">
        <v>107</v>
      </c>
      <c r="E505" t="s">
        <v>36</v>
      </c>
      <c r="F505" s="3">
        <v>3.32</v>
      </c>
      <c r="G505">
        <v>1069</v>
      </c>
      <c r="H505" s="3">
        <f t="shared" si="14"/>
        <v>3549.08</v>
      </c>
      <c r="I505" s="3">
        <v>0</v>
      </c>
      <c r="J505" s="3">
        <v>3549.08</v>
      </c>
      <c r="K505" t="s">
        <v>25</v>
      </c>
      <c r="L505" t="s">
        <v>26</v>
      </c>
      <c r="M505" t="s">
        <v>93</v>
      </c>
      <c r="N505" t="str">
        <f t="shared" si="15"/>
        <v>Mar</v>
      </c>
    </row>
    <row r="506" spans="1:14" x14ac:dyDescent="0.3">
      <c r="A506" t="s">
        <v>1033</v>
      </c>
      <c r="B506" t="s">
        <v>235</v>
      </c>
      <c r="C506" t="s">
        <v>710</v>
      </c>
      <c r="D506" t="s">
        <v>270</v>
      </c>
      <c r="E506" t="s">
        <v>42</v>
      </c>
      <c r="F506" s="3">
        <v>14.44</v>
      </c>
      <c r="G506">
        <v>1247</v>
      </c>
      <c r="H506" s="3">
        <f t="shared" si="14"/>
        <v>18006.68</v>
      </c>
      <c r="I506" s="3">
        <v>0</v>
      </c>
      <c r="J506" s="3">
        <v>18006.68</v>
      </c>
      <c r="K506" t="s">
        <v>61</v>
      </c>
      <c r="L506" t="s">
        <v>19</v>
      </c>
      <c r="M506" t="s">
        <v>62</v>
      </c>
      <c r="N506" t="str">
        <f t="shared" si="15"/>
        <v>Mar</v>
      </c>
    </row>
    <row r="507" spans="1:14" x14ac:dyDescent="0.3">
      <c r="A507" t="s">
        <v>1034</v>
      </c>
      <c r="B507" t="s">
        <v>1035</v>
      </c>
      <c r="C507" t="s">
        <v>236</v>
      </c>
      <c r="D507" t="s">
        <v>114</v>
      </c>
      <c r="E507" t="s">
        <v>32</v>
      </c>
      <c r="F507" s="3">
        <v>3.8</v>
      </c>
      <c r="G507">
        <v>1720</v>
      </c>
      <c r="H507" s="3">
        <f t="shared" si="14"/>
        <v>6536</v>
      </c>
      <c r="I507" s="3">
        <v>980.4</v>
      </c>
      <c r="J507" s="3">
        <v>5555.6</v>
      </c>
      <c r="K507" t="s">
        <v>25</v>
      </c>
      <c r="L507" t="s">
        <v>26</v>
      </c>
      <c r="M507" t="s">
        <v>20</v>
      </c>
      <c r="N507" t="str">
        <f t="shared" si="15"/>
        <v>Aug</v>
      </c>
    </row>
    <row r="508" spans="1:14" x14ac:dyDescent="0.3">
      <c r="A508" t="s">
        <v>1036</v>
      </c>
      <c r="B508" t="s">
        <v>940</v>
      </c>
      <c r="C508" t="s">
        <v>314</v>
      </c>
      <c r="D508" t="s">
        <v>135</v>
      </c>
      <c r="E508" t="s">
        <v>51</v>
      </c>
      <c r="F508" s="3">
        <v>3.76</v>
      </c>
      <c r="G508">
        <v>1424</v>
      </c>
      <c r="H508" s="3">
        <f t="shared" si="14"/>
        <v>5354.24</v>
      </c>
      <c r="I508" s="3">
        <v>535.41999999999996</v>
      </c>
      <c r="J508" s="3">
        <v>4818.82</v>
      </c>
      <c r="K508" t="s">
        <v>119</v>
      </c>
      <c r="L508" t="s">
        <v>19</v>
      </c>
      <c r="M508" t="s">
        <v>62</v>
      </c>
      <c r="N508" t="str">
        <f t="shared" si="15"/>
        <v>Apr</v>
      </c>
    </row>
    <row r="509" spans="1:14" x14ac:dyDescent="0.3">
      <c r="A509" t="s">
        <v>1037</v>
      </c>
      <c r="B509" t="s">
        <v>624</v>
      </c>
      <c r="C509" t="s">
        <v>335</v>
      </c>
      <c r="D509" t="s">
        <v>71</v>
      </c>
      <c r="E509" t="s">
        <v>24</v>
      </c>
      <c r="F509" s="3">
        <v>1.72</v>
      </c>
      <c r="G509">
        <v>1090</v>
      </c>
      <c r="H509" s="3">
        <f t="shared" si="14"/>
        <v>1874.8</v>
      </c>
      <c r="I509" s="3">
        <v>281.22000000000003</v>
      </c>
      <c r="J509" s="3">
        <v>1593.58</v>
      </c>
      <c r="K509" t="s">
        <v>67</v>
      </c>
      <c r="L509" t="s">
        <v>19</v>
      </c>
      <c r="M509" t="s">
        <v>62</v>
      </c>
      <c r="N509" t="str">
        <f t="shared" si="15"/>
        <v>Jul</v>
      </c>
    </row>
    <row r="510" spans="1:14" x14ac:dyDescent="0.3">
      <c r="A510" t="s">
        <v>1038</v>
      </c>
      <c r="B510" t="s">
        <v>878</v>
      </c>
      <c r="C510" t="s">
        <v>189</v>
      </c>
      <c r="D510" t="s">
        <v>92</v>
      </c>
      <c r="E510" t="s">
        <v>24</v>
      </c>
      <c r="F510" s="3">
        <v>13.35</v>
      </c>
      <c r="G510">
        <v>1108</v>
      </c>
      <c r="H510" s="3">
        <f t="shared" si="14"/>
        <v>14791.8</v>
      </c>
      <c r="I510" s="3">
        <v>0</v>
      </c>
      <c r="J510" s="3">
        <v>14791.8</v>
      </c>
      <c r="K510" t="s">
        <v>18</v>
      </c>
      <c r="L510" t="s">
        <v>52</v>
      </c>
      <c r="M510" t="s">
        <v>27</v>
      </c>
      <c r="N510" t="str">
        <f t="shared" si="15"/>
        <v>Sep</v>
      </c>
    </row>
    <row r="511" spans="1:14" x14ac:dyDescent="0.3">
      <c r="A511" t="s">
        <v>1039</v>
      </c>
      <c r="B511" t="s">
        <v>434</v>
      </c>
      <c r="C511" t="s">
        <v>154</v>
      </c>
      <c r="D511" t="s">
        <v>31</v>
      </c>
      <c r="E511" t="s">
        <v>24</v>
      </c>
      <c r="F511" s="3">
        <v>13.61</v>
      </c>
      <c r="G511">
        <v>1606</v>
      </c>
      <c r="H511" s="3">
        <f t="shared" si="14"/>
        <v>21857.66</v>
      </c>
      <c r="I511" s="3">
        <v>3278.65</v>
      </c>
      <c r="J511" s="3">
        <v>18579.009999999998</v>
      </c>
      <c r="K511" t="s">
        <v>25</v>
      </c>
      <c r="L511" t="s">
        <v>52</v>
      </c>
      <c r="M511" t="s">
        <v>53</v>
      </c>
      <c r="N511" t="str">
        <f t="shared" si="15"/>
        <v>Mar</v>
      </c>
    </row>
    <row r="512" spans="1:14" x14ac:dyDescent="0.3">
      <c r="A512" t="s">
        <v>1040</v>
      </c>
      <c r="B512" t="s">
        <v>504</v>
      </c>
      <c r="C512" t="s">
        <v>317</v>
      </c>
      <c r="D512" t="s">
        <v>135</v>
      </c>
      <c r="E512" t="s">
        <v>32</v>
      </c>
      <c r="F512" s="3">
        <v>4.5999999999999996</v>
      </c>
      <c r="G512">
        <v>1663</v>
      </c>
      <c r="H512" s="3">
        <f t="shared" si="14"/>
        <v>7649.7999999999993</v>
      </c>
      <c r="I512" s="3">
        <v>1147.47</v>
      </c>
      <c r="J512" s="3">
        <v>6502.33</v>
      </c>
      <c r="K512" t="s">
        <v>119</v>
      </c>
      <c r="L512" t="s">
        <v>79</v>
      </c>
      <c r="M512" t="s">
        <v>20</v>
      </c>
      <c r="N512" t="str">
        <f t="shared" si="15"/>
        <v>Jan</v>
      </c>
    </row>
    <row r="513" spans="1:14" x14ac:dyDescent="0.3">
      <c r="A513" t="s">
        <v>1041</v>
      </c>
      <c r="B513" t="s">
        <v>862</v>
      </c>
      <c r="C513" t="s">
        <v>113</v>
      </c>
      <c r="D513" t="s">
        <v>82</v>
      </c>
      <c r="E513" t="s">
        <v>32</v>
      </c>
      <c r="F513" s="3">
        <v>3.31</v>
      </c>
      <c r="G513">
        <v>997</v>
      </c>
      <c r="H513" s="3">
        <f t="shared" si="14"/>
        <v>3300.07</v>
      </c>
      <c r="I513" s="3">
        <v>165</v>
      </c>
      <c r="J513" s="3">
        <v>3135.07</v>
      </c>
      <c r="K513" t="s">
        <v>18</v>
      </c>
      <c r="L513" t="s">
        <v>79</v>
      </c>
      <c r="M513" t="s">
        <v>20</v>
      </c>
      <c r="N513" t="str">
        <f t="shared" si="15"/>
        <v>Dec</v>
      </c>
    </row>
    <row r="514" spans="1:14" x14ac:dyDescent="0.3">
      <c r="A514" t="s">
        <v>1042</v>
      </c>
      <c r="B514" t="s">
        <v>601</v>
      </c>
      <c r="C514" t="s">
        <v>287</v>
      </c>
      <c r="D514" t="s">
        <v>35</v>
      </c>
      <c r="E514" t="s">
        <v>36</v>
      </c>
      <c r="F514" s="3">
        <v>1.57</v>
      </c>
      <c r="G514">
        <v>1542</v>
      </c>
      <c r="H514" s="3">
        <f t="shared" si="14"/>
        <v>2420.94</v>
      </c>
      <c r="I514" s="3">
        <v>0</v>
      </c>
      <c r="J514" s="3">
        <v>2420.94</v>
      </c>
      <c r="K514" t="s">
        <v>25</v>
      </c>
      <c r="L514" t="s">
        <v>19</v>
      </c>
      <c r="M514" t="s">
        <v>20</v>
      </c>
      <c r="N514" t="str">
        <f t="shared" si="15"/>
        <v>Oct</v>
      </c>
    </row>
    <row r="515" spans="1:14" x14ac:dyDescent="0.3">
      <c r="A515" t="s">
        <v>1043</v>
      </c>
      <c r="B515" t="s">
        <v>1028</v>
      </c>
      <c r="C515" t="s">
        <v>469</v>
      </c>
      <c r="D515" t="s">
        <v>155</v>
      </c>
      <c r="E515" t="s">
        <v>17</v>
      </c>
      <c r="F515" s="3">
        <v>12.36</v>
      </c>
      <c r="G515">
        <v>857</v>
      </c>
      <c r="H515" s="3">
        <f t="shared" ref="H515:H578" si="16">F515*G515</f>
        <v>10592.519999999999</v>
      </c>
      <c r="I515" s="3">
        <v>1059.25</v>
      </c>
      <c r="J515" s="3">
        <v>9533.27</v>
      </c>
      <c r="K515" t="s">
        <v>18</v>
      </c>
      <c r="L515" t="s">
        <v>26</v>
      </c>
      <c r="M515" t="s">
        <v>37</v>
      </c>
      <c r="N515" t="str">
        <f t="shared" ref="N515:N578" si="17">TEXT(B515,"mmm")</f>
        <v>Jan</v>
      </c>
    </row>
    <row r="516" spans="1:14" x14ac:dyDescent="0.3">
      <c r="A516" t="s">
        <v>1044</v>
      </c>
      <c r="B516" t="s">
        <v>594</v>
      </c>
      <c r="C516" t="s">
        <v>874</v>
      </c>
      <c r="D516" t="s">
        <v>35</v>
      </c>
      <c r="E516" t="s">
        <v>51</v>
      </c>
      <c r="F516" s="3">
        <v>13.04</v>
      </c>
      <c r="G516">
        <v>887</v>
      </c>
      <c r="H516" s="3">
        <f t="shared" si="16"/>
        <v>11566.48</v>
      </c>
      <c r="I516" s="3">
        <v>1156.6500000000001</v>
      </c>
      <c r="J516" s="3">
        <v>10409.83</v>
      </c>
      <c r="K516" t="s">
        <v>25</v>
      </c>
      <c r="L516" t="s">
        <v>79</v>
      </c>
      <c r="M516" t="s">
        <v>27</v>
      </c>
      <c r="N516" t="str">
        <f t="shared" si="17"/>
        <v>Nov</v>
      </c>
    </row>
    <row r="517" spans="1:14" x14ac:dyDescent="0.3">
      <c r="A517" t="s">
        <v>1045</v>
      </c>
      <c r="B517" t="s">
        <v>1046</v>
      </c>
      <c r="C517" t="s">
        <v>564</v>
      </c>
      <c r="D517" t="s">
        <v>155</v>
      </c>
      <c r="E517" t="s">
        <v>32</v>
      </c>
      <c r="F517" s="3">
        <v>8.9499999999999993</v>
      </c>
      <c r="G517">
        <v>1161</v>
      </c>
      <c r="H517" s="3">
        <f t="shared" si="16"/>
        <v>10390.949999999999</v>
      </c>
      <c r="I517" s="3">
        <v>1558.64</v>
      </c>
      <c r="J517" s="3">
        <v>8832.31</v>
      </c>
      <c r="K517" t="s">
        <v>67</v>
      </c>
      <c r="L517" t="s">
        <v>79</v>
      </c>
      <c r="M517" t="s">
        <v>20</v>
      </c>
      <c r="N517" t="str">
        <f t="shared" si="17"/>
        <v>Jul</v>
      </c>
    </row>
    <row r="518" spans="1:14" x14ac:dyDescent="0.3">
      <c r="A518" t="s">
        <v>1047</v>
      </c>
      <c r="B518" t="s">
        <v>982</v>
      </c>
      <c r="C518" t="s">
        <v>355</v>
      </c>
      <c r="D518" t="s">
        <v>35</v>
      </c>
      <c r="E518" t="s">
        <v>51</v>
      </c>
      <c r="F518" s="3">
        <v>9.3000000000000007</v>
      </c>
      <c r="G518">
        <v>1605</v>
      </c>
      <c r="H518" s="3">
        <f t="shared" si="16"/>
        <v>14926.500000000002</v>
      </c>
      <c r="I518" s="3">
        <v>2238.9699999999998</v>
      </c>
      <c r="J518" s="3">
        <v>12687.53</v>
      </c>
      <c r="K518" t="s">
        <v>67</v>
      </c>
      <c r="L518" t="s">
        <v>19</v>
      </c>
      <c r="M518" t="s">
        <v>27</v>
      </c>
      <c r="N518" t="str">
        <f t="shared" si="17"/>
        <v>Oct</v>
      </c>
    </row>
    <row r="519" spans="1:14" x14ac:dyDescent="0.3">
      <c r="A519" t="s">
        <v>1048</v>
      </c>
      <c r="B519" t="s">
        <v>359</v>
      </c>
      <c r="C519" t="s">
        <v>887</v>
      </c>
      <c r="D519" t="s">
        <v>270</v>
      </c>
      <c r="E519" t="s">
        <v>24</v>
      </c>
      <c r="F519" s="3">
        <v>4.4000000000000004</v>
      </c>
      <c r="G519">
        <v>840</v>
      </c>
      <c r="H519" s="3">
        <f t="shared" si="16"/>
        <v>3696.0000000000005</v>
      </c>
      <c r="I519" s="3">
        <v>369.6</v>
      </c>
      <c r="J519" s="3">
        <v>3326.4</v>
      </c>
      <c r="K519" t="s">
        <v>25</v>
      </c>
      <c r="L519" t="s">
        <v>19</v>
      </c>
      <c r="M519" t="s">
        <v>62</v>
      </c>
      <c r="N519" t="str">
        <f t="shared" si="17"/>
        <v>Apr</v>
      </c>
    </row>
    <row r="520" spans="1:14" x14ac:dyDescent="0.3">
      <c r="A520" t="s">
        <v>1049</v>
      </c>
      <c r="B520" t="s">
        <v>1050</v>
      </c>
      <c r="C520" t="s">
        <v>56</v>
      </c>
      <c r="D520" t="s">
        <v>16</v>
      </c>
      <c r="E520" t="s">
        <v>24</v>
      </c>
      <c r="F520" s="3">
        <v>12.61</v>
      </c>
      <c r="G520">
        <v>985</v>
      </c>
      <c r="H520" s="3">
        <f t="shared" si="16"/>
        <v>12420.849999999999</v>
      </c>
      <c r="I520" s="3">
        <v>1863.13</v>
      </c>
      <c r="J520" s="3">
        <v>10557.72</v>
      </c>
      <c r="K520" t="s">
        <v>18</v>
      </c>
      <c r="L520" t="s">
        <v>19</v>
      </c>
      <c r="M520" t="s">
        <v>53</v>
      </c>
      <c r="N520" t="str">
        <f t="shared" si="17"/>
        <v>Jul</v>
      </c>
    </row>
    <row r="521" spans="1:14" x14ac:dyDescent="0.3">
      <c r="A521" t="s">
        <v>1051</v>
      </c>
      <c r="B521" t="s">
        <v>957</v>
      </c>
      <c r="C521" t="s">
        <v>148</v>
      </c>
      <c r="D521" t="s">
        <v>97</v>
      </c>
      <c r="E521" t="s">
        <v>42</v>
      </c>
      <c r="F521" s="3">
        <v>2.0099999999999998</v>
      </c>
      <c r="G521">
        <v>807</v>
      </c>
      <c r="H521" s="3">
        <f t="shared" si="16"/>
        <v>1622.07</v>
      </c>
      <c r="I521" s="3">
        <v>243.31</v>
      </c>
      <c r="J521" s="3">
        <v>1378.76</v>
      </c>
      <c r="K521" t="s">
        <v>25</v>
      </c>
      <c r="L521" t="s">
        <v>79</v>
      </c>
      <c r="M521" t="s">
        <v>27</v>
      </c>
      <c r="N521" t="str">
        <f t="shared" si="17"/>
        <v>Apr</v>
      </c>
    </row>
    <row r="522" spans="1:14" x14ac:dyDescent="0.3">
      <c r="A522" t="s">
        <v>1052</v>
      </c>
      <c r="B522" t="s">
        <v>495</v>
      </c>
      <c r="C522" t="s">
        <v>131</v>
      </c>
      <c r="D522" t="s">
        <v>270</v>
      </c>
      <c r="E522" t="s">
        <v>17</v>
      </c>
      <c r="F522" s="3">
        <v>8.17</v>
      </c>
      <c r="G522">
        <v>41</v>
      </c>
      <c r="H522" s="3">
        <f t="shared" si="16"/>
        <v>334.96999999999997</v>
      </c>
      <c r="I522" s="3">
        <v>16.75</v>
      </c>
      <c r="J522" s="3">
        <v>318.22000000000003</v>
      </c>
      <c r="K522" t="s">
        <v>25</v>
      </c>
      <c r="L522" t="s">
        <v>79</v>
      </c>
      <c r="M522" t="s">
        <v>62</v>
      </c>
      <c r="N522" t="str">
        <f t="shared" si="17"/>
        <v>Nov</v>
      </c>
    </row>
    <row r="523" spans="1:14" x14ac:dyDescent="0.3">
      <c r="A523" t="s">
        <v>1053</v>
      </c>
      <c r="B523" t="s">
        <v>1054</v>
      </c>
      <c r="C523" t="s">
        <v>893</v>
      </c>
      <c r="D523" t="s">
        <v>135</v>
      </c>
      <c r="E523" t="s">
        <v>42</v>
      </c>
      <c r="F523" s="3">
        <v>10.93</v>
      </c>
      <c r="G523">
        <v>1279</v>
      </c>
      <c r="H523" s="3">
        <f t="shared" si="16"/>
        <v>13979.47</v>
      </c>
      <c r="I523" s="3">
        <v>698.97</v>
      </c>
      <c r="J523" s="3">
        <v>13280.5</v>
      </c>
      <c r="K523" t="s">
        <v>18</v>
      </c>
      <c r="L523" t="s">
        <v>79</v>
      </c>
      <c r="M523" t="s">
        <v>62</v>
      </c>
      <c r="N523" t="str">
        <f t="shared" si="17"/>
        <v>Jan</v>
      </c>
    </row>
    <row r="524" spans="1:14" x14ac:dyDescent="0.3">
      <c r="A524" t="s">
        <v>1055</v>
      </c>
      <c r="B524" t="s">
        <v>201</v>
      </c>
      <c r="C524" t="s">
        <v>91</v>
      </c>
      <c r="D524" t="s">
        <v>270</v>
      </c>
      <c r="E524" t="s">
        <v>24</v>
      </c>
      <c r="F524" s="3">
        <v>14.96</v>
      </c>
      <c r="G524">
        <v>1616</v>
      </c>
      <c r="H524" s="3">
        <f t="shared" si="16"/>
        <v>24175.360000000001</v>
      </c>
      <c r="I524" s="3">
        <v>3626.3</v>
      </c>
      <c r="J524" s="3">
        <v>20549.060000000001</v>
      </c>
      <c r="K524" t="s">
        <v>61</v>
      </c>
      <c r="L524" t="s">
        <v>52</v>
      </c>
      <c r="M524" t="s">
        <v>37</v>
      </c>
      <c r="N524" t="str">
        <f t="shared" si="17"/>
        <v>Dec</v>
      </c>
    </row>
    <row r="525" spans="1:14" x14ac:dyDescent="0.3">
      <c r="A525" t="s">
        <v>1056</v>
      </c>
      <c r="B525" t="s">
        <v>780</v>
      </c>
      <c r="C525" t="s">
        <v>595</v>
      </c>
      <c r="D525" t="s">
        <v>135</v>
      </c>
      <c r="E525" t="s">
        <v>24</v>
      </c>
      <c r="F525" s="3">
        <v>11.45</v>
      </c>
      <c r="G525">
        <v>160</v>
      </c>
      <c r="H525" s="3">
        <f t="shared" si="16"/>
        <v>1832</v>
      </c>
      <c r="I525" s="3">
        <v>0</v>
      </c>
      <c r="J525" s="3">
        <v>1832</v>
      </c>
      <c r="K525" t="s">
        <v>25</v>
      </c>
      <c r="L525" t="s">
        <v>79</v>
      </c>
      <c r="M525" t="s">
        <v>27</v>
      </c>
      <c r="N525" t="str">
        <f t="shared" si="17"/>
        <v>Oct</v>
      </c>
    </row>
    <row r="526" spans="1:14" x14ac:dyDescent="0.3">
      <c r="A526" t="s">
        <v>1057</v>
      </c>
      <c r="B526" t="s">
        <v>468</v>
      </c>
      <c r="C526" t="s">
        <v>874</v>
      </c>
      <c r="D526" t="s">
        <v>41</v>
      </c>
      <c r="E526" t="s">
        <v>51</v>
      </c>
      <c r="F526" s="3">
        <v>14.5</v>
      </c>
      <c r="G526">
        <v>586</v>
      </c>
      <c r="H526" s="3">
        <f t="shared" si="16"/>
        <v>8497</v>
      </c>
      <c r="I526" s="3">
        <v>424.85</v>
      </c>
      <c r="J526" s="3">
        <v>8072.15</v>
      </c>
      <c r="K526" t="s">
        <v>25</v>
      </c>
      <c r="L526" t="s">
        <v>26</v>
      </c>
      <c r="M526" t="s">
        <v>37</v>
      </c>
      <c r="N526" t="str">
        <f t="shared" si="17"/>
        <v>Oct</v>
      </c>
    </row>
    <row r="527" spans="1:14" x14ac:dyDescent="0.3">
      <c r="A527" t="s">
        <v>1058</v>
      </c>
      <c r="B527" t="s">
        <v>310</v>
      </c>
      <c r="C527" t="s">
        <v>113</v>
      </c>
      <c r="D527" t="s">
        <v>16</v>
      </c>
      <c r="E527" t="s">
        <v>51</v>
      </c>
      <c r="F527" s="3">
        <v>3.86</v>
      </c>
      <c r="G527">
        <v>1056</v>
      </c>
      <c r="H527" s="3">
        <f t="shared" si="16"/>
        <v>4076.16</v>
      </c>
      <c r="I527" s="3">
        <v>0</v>
      </c>
      <c r="J527" s="3">
        <v>4076.16</v>
      </c>
      <c r="K527" t="s">
        <v>25</v>
      </c>
      <c r="L527" t="s">
        <v>19</v>
      </c>
      <c r="M527" t="s">
        <v>20</v>
      </c>
      <c r="N527" t="str">
        <f t="shared" si="17"/>
        <v>Jul</v>
      </c>
    </row>
    <row r="528" spans="1:14" x14ac:dyDescent="0.3">
      <c r="A528" t="s">
        <v>1059</v>
      </c>
      <c r="B528" t="s">
        <v>347</v>
      </c>
      <c r="C528" t="s">
        <v>34</v>
      </c>
      <c r="D528" t="s">
        <v>82</v>
      </c>
      <c r="E528" t="s">
        <v>42</v>
      </c>
      <c r="F528" s="3">
        <v>14.42</v>
      </c>
      <c r="G528">
        <v>1814</v>
      </c>
      <c r="H528" s="3">
        <f t="shared" si="16"/>
        <v>26157.88</v>
      </c>
      <c r="I528" s="3">
        <v>2615.79</v>
      </c>
      <c r="J528" s="3">
        <v>23542.09</v>
      </c>
      <c r="K528" t="s">
        <v>119</v>
      </c>
      <c r="L528" t="s">
        <v>52</v>
      </c>
      <c r="M528" t="s">
        <v>20</v>
      </c>
      <c r="N528" t="str">
        <f t="shared" si="17"/>
        <v>May</v>
      </c>
    </row>
    <row r="529" spans="1:14" x14ac:dyDescent="0.3">
      <c r="A529" t="s">
        <v>1060</v>
      </c>
      <c r="B529" t="s">
        <v>329</v>
      </c>
      <c r="C529" t="s">
        <v>712</v>
      </c>
      <c r="D529" t="s">
        <v>50</v>
      </c>
      <c r="E529" t="s">
        <v>51</v>
      </c>
      <c r="F529" s="3">
        <v>14.48</v>
      </c>
      <c r="G529">
        <v>959</v>
      </c>
      <c r="H529" s="3">
        <f t="shared" si="16"/>
        <v>13886.32</v>
      </c>
      <c r="I529" s="3">
        <v>2082.9499999999998</v>
      </c>
      <c r="J529" s="3">
        <v>11803.37</v>
      </c>
      <c r="K529" t="s">
        <v>25</v>
      </c>
      <c r="L529" t="s">
        <v>19</v>
      </c>
      <c r="M529" t="s">
        <v>37</v>
      </c>
      <c r="N529" t="str">
        <f t="shared" si="17"/>
        <v>Sep</v>
      </c>
    </row>
    <row r="530" spans="1:14" x14ac:dyDescent="0.3">
      <c r="A530" t="s">
        <v>1061</v>
      </c>
      <c r="B530" t="s">
        <v>729</v>
      </c>
      <c r="C530" t="s">
        <v>710</v>
      </c>
      <c r="D530" t="s">
        <v>97</v>
      </c>
      <c r="E530" t="s">
        <v>32</v>
      </c>
      <c r="F530" s="3">
        <v>10.050000000000001</v>
      </c>
      <c r="G530">
        <v>471</v>
      </c>
      <c r="H530" s="3">
        <f t="shared" si="16"/>
        <v>4733.55</v>
      </c>
      <c r="I530" s="3">
        <v>236.68</v>
      </c>
      <c r="J530" s="3">
        <v>4496.87</v>
      </c>
      <c r="K530" t="s">
        <v>61</v>
      </c>
      <c r="L530" t="s">
        <v>52</v>
      </c>
      <c r="M530" t="s">
        <v>53</v>
      </c>
      <c r="N530" t="str">
        <f t="shared" si="17"/>
        <v>Mar</v>
      </c>
    </row>
    <row r="531" spans="1:14" x14ac:dyDescent="0.3">
      <c r="A531" t="s">
        <v>1062</v>
      </c>
      <c r="B531" t="s">
        <v>898</v>
      </c>
      <c r="C531" t="s">
        <v>496</v>
      </c>
      <c r="D531" t="s">
        <v>16</v>
      </c>
      <c r="E531" t="s">
        <v>17</v>
      </c>
      <c r="F531" s="3">
        <v>12.73</v>
      </c>
      <c r="G531">
        <v>528</v>
      </c>
      <c r="H531" s="3">
        <f t="shared" si="16"/>
        <v>6721.4400000000005</v>
      </c>
      <c r="I531" s="3">
        <v>672.14</v>
      </c>
      <c r="J531" s="3">
        <v>6049.3</v>
      </c>
      <c r="K531" t="s">
        <v>18</v>
      </c>
      <c r="L531" t="s">
        <v>52</v>
      </c>
      <c r="M531" t="s">
        <v>27</v>
      </c>
      <c r="N531" t="str">
        <f t="shared" si="17"/>
        <v>Sep</v>
      </c>
    </row>
    <row r="532" spans="1:14" x14ac:dyDescent="0.3">
      <c r="A532" t="s">
        <v>1063</v>
      </c>
      <c r="B532" t="s">
        <v>580</v>
      </c>
      <c r="C532" t="s">
        <v>473</v>
      </c>
      <c r="D532" t="s">
        <v>31</v>
      </c>
      <c r="E532" t="s">
        <v>36</v>
      </c>
      <c r="F532" s="3">
        <v>7.93</v>
      </c>
      <c r="G532">
        <v>744</v>
      </c>
      <c r="H532" s="3">
        <f t="shared" si="16"/>
        <v>5899.92</v>
      </c>
      <c r="I532" s="3">
        <v>295</v>
      </c>
      <c r="J532" s="3">
        <v>5604.92</v>
      </c>
      <c r="K532" t="s">
        <v>25</v>
      </c>
      <c r="L532" t="s">
        <v>79</v>
      </c>
      <c r="M532" t="s">
        <v>62</v>
      </c>
      <c r="N532" t="str">
        <f t="shared" si="17"/>
        <v>Jun</v>
      </c>
    </row>
    <row r="533" spans="1:14" x14ac:dyDescent="0.3">
      <c r="A533" t="s">
        <v>1064</v>
      </c>
      <c r="B533" t="s">
        <v>164</v>
      </c>
      <c r="C533" t="s">
        <v>918</v>
      </c>
      <c r="D533" t="s">
        <v>114</v>
      </c>
      <c r="E533" t="s">
        <v>17</v>
      </c>
      <c r="F533" s="3">
        <v>4.2</v>
      </c>
      <c r="G533">
        <v>1526</v>
      </c>
      <c r="H533" s="3">
        <f t="shared" si="16"/>
        <v>6409.2</v>
      </c>
      <c r="I533" s="3">
        <v>320.45999999999998</v>
      </c>
      <c r="J533" s="3">
        <v>6088.74</v>
      </c>
      <c r="K533" t="s">
        <v>61</v>
      </c>
      <c r="L533" t="s">
        <v>26</v>
      </c>
      <c r="M533" t="s">
        <v>62</v>
      </c>
      <c r="N533" t="str">
        <f t="shared" si="17"/>
        <v>Dec</v>
      </c>
    </row>
    <row r="534" spans="1:14" x14ac:dyDescent="0.3">
      <c r="A534" t="s">
        <v>1065</v>
      </c>
      <c r="B534" t="s">
        <v>587</v>
      </c>
      <c r="C534" t="s">
        <v>122</v>
      </c>
      <c r="D534" t="s">
        <v>92</v>
      </c>
      <c r="E534" t="s">
        <v>51</v>
      </c>
      <c r="F534" s="3">
        <v>3.61</v>
      </c>
      <c r="G534">
        <v>238</v>
      </c>
      <c r="H534" s="3">
        <f t="shared" si="16"/>
        <v>859.18</v>
      </c>
      <c r="I534" s="3">
        <v>0</v>
      </c>
      <c r="J534" s="3">
        <v>859.18</v>
      </c>
      <c r="K534" t="s">
        <v>18</v>
      </c>
      <c r="L534" t="s">
        <v>52</v>
      </c>
      <c r="M534" t="s">
        <v>20</v>
      </c>
      <c r="N534" t="str">
        <f t="shared" si="17"/>
        <v>Apr</v>
      </c>
    </row>
    <row r="535" spans="1:14" x14ac:dyDescent="0.3">
      <c r="A535" t="s">
        <v>1066</v>
      </c>
      <c r="B535" t="s">
        <v>1028</v>
      </c>
      <c r="C535" t="s">
        <v>831</v>
      </c>
      <c r="D535" t="s">
        <v>31</v>
      </c>
      <c r="E535" t="s">
        <v>24</v>
      </c>
      <c r="F535" s="3">
        <v>12.95</v>
      </c>
      <c r="G535">
        <v>780</v>
      </c>
      <c r="H535" s="3">
        <f t="shared" si="16"/>
        <v>10101</v>
      </c>
      <c r="I535" s="3">
        <v>1010.1</v>
      </c>
      <c r="J535" s="3">
        <v>9090.9</v>
      </c>
      <c r="K535" t="s">
        <v>119</v>
      </c>
      <c r="L535" t="s">
        <v>79</v>
      </c>
      <c r="M535" t="s">
        <v>37</v>
      </c>
      <c r="N535" t="str">
        <f t="shared" si="17"/>
        <v>Jan</v>
      </c>
    </row>
    <row r="536" spans="1:14" x14ac:dyDescent="0.3">
      <c r="A536" t="s">
        <v>1067</v>
      </c>
      <c r="B536" t="s">
        <v>940</v>
      </c>
      <c r="C536" t="s">
        <v>831</v>
      </c>
      <c r="D536" t="s">
        <v>135</v>
      </c>
      <c r="E536" t="s">
        <v>51</v>
      </c>
      <c r="F536" s="3">
        <v>6.87</v>
      </c>
      <c r="G536">
        <v>1556</v>
      </c>
      <c r="H536" s="3">
        <f t="shared" si="16"/>
        <v>10689.72</v>
      </c>
      <c r="I536" s="3">
        <v>534.49</v>
      </c>
      <c r="J536" s="3">
        <v>10155.23</v>
      </c>
      <c r="K536" t="s">
        <v>18</v>
      </c>
      <c r="L536" t="s">
        <v>52</v>
      </c>
      <c r="M536" t="s">
        <v>37</v>
      </c>
      <c r="N536" t="str">
        <f t="shared" si="17"/>
        <v>Apr</v>
      </c>
    </row>
    <row r="537" spans="1:14" x14ac:dyDescent="0.3">
      <c r="A537" t="s">
        <v>1068</v>
      </c>
      <c r="B537" t="s">
        <v>296</v>
      </c>
      <c r="C537" t="s">
        <v>23</v>
      </c>
      <c r="D537" t="s">
        <v>135</v>
      </c>
      <c r="E537" t="s">
        <v>51</v>
      </c>
      <c r="F537" s="3">
        <v>6.82</v>
      </c>
      <c r="G537">
        <v>1425</v>
      </c>
      <c r="H537" s="3">
        <f t="shared" si="16"/>
        <v>9718.5</v>
      </c>
      <c r="I537" s="3">
        <v>485.93</v>
      </c>
      <c r="J537" s="3">
        <v>9232.57</v>
      </c>
      <c r="K537" t="s">
        <v>119</v>
      </c>
      <c r="L537" t="s">
        <v>19</v>
      </c>
      <c r="M537" t="s">
        <v>27</v>
      </c>
      <c r="N537" t="str">
        <f t="shared" si="17"/>
        <v>Oct</v>
      </c>
    </row>
    <row r="538" spans="1:14" x14ac:dyDescent="0.3">
      <c r="A538" t="s">
        <v>1069</v>
      </c>
      <c r="B538" t="s">
        <v>1070</v>
      </c>
      <c r="C538" t="s">
        <v>70</v>
      </c>
      <c r="D538" t="s">
        <v>110</v>
      </c>
      <c r="E538" t="s">
        <v>17</v>
      </c>
      <c r="F538" s="3">
        <v>1.61</v>
      </c>
      <c r="G538">
        <v>1400</v>
      </c>
      <c r="H538" s="3">
        <f t="shared" si="16"/>
        <v>2254</v>
      </c>
      <c r="I538" s="3">
        <v>112.7</v>
      </c>
      <c r="J538" s="3">
        <v>2141.3000000000002</v>
      </c>
      <c r="K538" t="s">
        <v>119</v>
      </c>
      <c r="L538" t="s">
        <v>19</v>
      </c>
      <c r="M538" t="s">
        <v>53</v>
      </c>
      <c r="N538" t="str">
        <f t="shared" si="17"/>
        <v>Sep</v>
      </c>
    </row>
    <row r="539" spans="1:14" x14ac:dyDescent="0.3">
      <c r="A539" t="s">
        <v>1071</v>
      </c>
      <c r="B539" t="s">
        <v>313</v>
      </c>
      <c r="C539" t="s">
        <v>725</v>
      </c>
      <c r="D539" t="s">
        <v>35</v>
      </c>
      <c r="E539" t="s">
        <v>36</v>
      </c>
      <c r="F539" s="3">
        <v>8.91</v>
      </c>
      <c r="G539">
        <v>505</v>
      </c>
      <c r="H539" s="3">
        <f t="shared" si="16"/>
        <v>4499.55</v>
      </c>
      <c r="I539" s="3">
        <v>449.96</v>
      </c>
      <c r="J539" s="3">
        <v>4049.59</v>
      </c>
      <c r="K539" t="s">
        <v>119</v>
      </c>
      <c r="L539" t="s">
        <v>79</v>
      </c>
      <c r="M539" t="s">
        <v>53</v>
      </c>
      <c r="N539" t="str">
        <f t="shared" si="17"/>
        <v>Jul</v>
      </c>
    </row>
    <row r="540" spans="1:14" x14ac:dyDescent="0.3">
      <c r="A540" t="s">
        <v>1072</v>
      </c>
      <c r="B540" t="s">
        <v>644</v>
      </c>
      <c r="C540" t="s">
        <v>321</v>
      </c>
      <c r="D540" t="s">
        <v>78</v>
      </c>
      <c r="E540" t="s">
        <v>36</v>
      </c>
      <c r="F540" s="3">
        <v>7.16</v>
      </c>
      <c r="G540">
        <v>1560</v>
      </c>
      <c r="H540" s="3">
        <f t="shared" si="16"/>
        <v>11169.6</v>
      </c>
      <c r="I540" s="3">
        <v>1116.96</v>
      </c>
      <c r="J540" s="3">
        <v>10052.64</v>
      </c>
      <c r="K540" t="s">
        <v>61</v>
      </c>
      <c r="L540" t="s">
        <v>52</v>
      </c>
      <c r="M540" t="s">
        <v>53</v>
      </c>
      <c r="N540" t="str">
        <f t="shared" si="17"/>
        <v>Apr</v>
      </c>
    </row>
    <row r="541" spans="1:14" x14ac:dyDescent="0.3">
      <c r="A541" t="s">
        <v>1073</v>
      </c>
      <c r="B541" t="s">
        <v>1074</v>
      </c>
      <c r="C541" t="s">
        <v>224</v>
      </c>
      <c r="D541" t="s">
        <v>107</v>
      </c>
      <c r="E541" t="s">
        <v>36</v>
      </c>
      <c r="F541" s="3">
        <v>14.72</v>
      </c>
      <c r="G541">
        <v>1424</v>
      </c>
      <c r="H541" s="3">
        <f t="shared" si="16"/>
        <v>20961.280000000002</v>
      </c>
      <c r="I541" s="3">
        <v>1048.06</v>
      </c>
      <c r="J541" s="3">
        <v>19913.22</v>
      </c>
      <c r="K541" t="s">
        <v>18</v>
      </c>
      <c r="L541" t="s">
        <v>79</v>
      </c>
      <c r="M541" t="s">
        <v>62</v>
      </c>
      <c r="N541" t="str">
        <f t="shared" si="17"/>
        <v>Aug</v>
      </c>
    </row>
    <row r="542" spans="1:14" x14ac:dyDescent="0.3">
      <c r="A542" t="s">
        <v>1075</v>
      </c>
      <c r="B542" t="s">
        <v>982</v>
      </c>
      <c r="C542" t="s">
        <v>116</v>
      </c>
      <c r="D542" t="s">
        <v>66</v>
      </c>
      <c r="E542" t="s">
        <v>36</v>
      </c>
      <c r="F542" s="3">
        <v>3.47</v>
      </c>
      <c r="G542">
        <v>1984</v>
      </c>
      <c r="H542" s="3">
        <f t="shared" si="16"/>
        <v>6884.4800000000005</v>
      </c>
      <c r="I542" s="3">
        <v>344.22</v>
      </c>
      <c r="J542" s="3">
        <v>6540.26</v>
      </c>
      <c r="K542" t="s">
        <v>119</v>
      </c>
      <c r="L542" t="s">
        <v>19</v>
      </c>
      <c r="M542" t="s">
        <v>62</v>
      </c>
      <c r="N542" t="str">
        <f t="shared" si="17"/>
        <v>Oct</v>
      </c>
    </row>
    <row r="543" spans="1:14" x14ac:dyDescent="0.3">
      <c r="A543" t="s">
        <v>1076</v>
      </c>
      <c r="B543" t="s">
        <v>929</v>
      </c>
      <c r="C543" t="s">
        <v>321</v>
      </c>
      <c r="D543" t="s">
        <v>71</v>
      </c>
      <c r="E543" t="s">
        <v>17</v>
      </c>
      <c r="F543" s="3">
        <v>8.48</v>
      </c>
      <c r="G543">
        <v>1495</v>
      </c>
      <c r="H543" s="3">
        <f t="shared" si="16"/>
        <v>12677.6</v>
      </c>
      <c r="I543" s="3">
        <v>1267.76</v>
      </c>
      <c r="J543" s="3">
        <v>11409.84</v>
      </c>
      <c r="K543" t="s">
        <v>119</v>
      </c>
      <c r="L543" t="s">
        <v>79</v>
      </c>
      <c r="M543" t="s">
        <v>53</v>
      </c>
      <c r="N543" t="str">
        <f t="shared" si="17"/>
        <v>Aug</v>
      </c>
    </row>
    <row r="544" spans="1:14" x14ac:dyDescent="0.3">
      <c r="A544" t="s">
        <v>1077</v>
      </c>
      <c r="B544" t="s">
        <v>646</v>
      </c>
      <c r="C544" t="s">
        <v>96</v>
      </c>
      <c r="D544" t="s">
        <v>225</v>
      </c>
      <c r="E544" t="s">
        <v>32</v>
      </c>
      <c r="F544" s="3">
        <v>2.84</v>
      </c>
      <c r="G544">
        <v>354</v>
      </c>
      <c r="H544" s="3">
        <f t="shared" si="16"/>
        <v>1005.3599999999999</v>
      </c>
      <c r="I544" s="3">
        <v>0</v>
      </c>
      <c r="J544" s="3">
        <v>1005.36</v>
      </c>
      <c r="K544" t="s">
        <v>67</v>
      </c>
      <c r="L544" t="s">
        <v>79</v>
      </c>
      <c r="M544" t="s">
        <v>37</v>
      </c>
      <c r="N544" t="str">
        <f t="shared" si="17"/>
        <v>Oct</v>
      </c>
    </row>
    <row r="545" spans="1:14" x14ac:dyDescent="0.3">
      <c r="A545" t="s">
        <v>1078</v>
      </c>
      <c r="B545" t="s">
        <v>997</v>
      </c>
      <c r="C545" t="s">
        <v>546</v>
      </c>
      <c r="D545" t="s">
        <v>60</v>
      </c>
      <c r="E545" t="s">
        <v>17</v>
      </c>
      <c r="F545" s="3">
        <v>6.02</v>
      </c>
      <c r="G545">
        <v>759</v>
      </c>
      <c r="H545" s="3">
        <f t="shared" si="16"/>
        <v>4569.1799999999994</v>
      </c>
      <c r="I545" s="3">
        <v>456.92</v>
      </c>
      <c r="J545" s="3">
        <v>4112.26</v>
      </c>
      <c r="K545" t="s">
        <v>25</v>
      </c>
      <c r="L545" t="s">
        <v>79</v>
      </c>
      <c r="M545" t="s">
        <v>53</v>
      </c>
      <c r="N545" t="str">
        <f t="shared" si="17"/>
        <v>Nov</v>
      </c>
    </row>
    <row r="546" spans="1:14" x14ac:dyDescent="0.3">
      <c r="A546" t="s">
        <v>1079</v>
      </c>
      <c r="B546" t="s">
        <v>1080</v>
      </c>
      <c r="C546" t="s">
        <v>647</v>
      </c>
      <c r="D546" t="s">
        <v>82</v>
      </c>
      <c r="E546" t="s">
        <v>51</v>
      </c>
      <c r="F546" s="3">
        <v>13.21</v>
      </c>
      <c r="G546">
        <v>1992</v>
      </c>
      <c r="H546" s="3">
        <f t="shared" si="16"/>
        <v>26314.320000000003</v>
      </c>
      <c r="I546" s="3">
        <v>1315.72</v>
      </c>
      <c r="J546" s="3">
        <v>24998.6</v>
      </c>
      <c r="K546" t="s">
        <v>25</v>
      </c>
      <c r="L546" t="s">
        <v>26</v>
      </c>
      <c r="M546" t="s">
        <v>53</v>
      </c>
      <c r="N546" t="str">
        <f t="shared" si="17"/>
        <v>Jan</v>
      </c>
    </row>
    <row r="547" spans="1:14" x14ac:dyDescent="0.3">
      <c r="A547" t="s">
        <v>1081</v>
      </c>
      <c r="B547" t="s">
        <v>1082</v>
      </c>
      <c r="C547" t="s">
        <v>186</v>
      </c>
      <c r="D547" t="s">
        <v>135</v>
      </c>
      <c r="E547" t="s">
        <v>32</v>
      </c>
      <c r="F547" s="3">
        <v>11.96</v>
      </c>
      <c r="G547">
        <v>935</v>
      </c>
      <c r="H547" s="3">
        <f t="shared" si="16"/>
        <v>11182.6</v>
      </c>
      <c r="I547" s="3">
        <v>0</v>
      </c>
      <c r="J547" s="3">
        <v>11182.6</v>
      </c>
      <c r="K547" t="s">
        <v>119</v>
      </c>
      <c r="L547" t="s">
        <v>79</v>
      </c>
      <c r="M547" t="s">
        <v>37</v>
      </c>
      <c r="N547" t="str">
        <f t="shared" si="17"/>
        <v>Jul</v>
      </c>
    </row>
    <row r="548" spans="1:14" x14ac:dyDescent="0.3">
      <c r="A548" t="s">
        <v>1083</v>
      </c>
      <c r="B548" t="s">
        <v>1084</v>
      </c>
      <c r="C548" t="s">
        <v>324</v>
      </c>
      <c r="D548" t="s">
        <v>270</v>
      </c>
      <c r="E548" t="s">
        <v>17</v>
      </c>
      <c r="F548" s="3">
        <v>12.4</v>
      </c>
      <c r="G548">
        <v>710</v>
      </c>
      <c r="H548" s="3">
        <f t="shared" si="16"/>
        <v>8804</v>
      </c>
      <c r="I548" s="3">
        <v>1320.6</v>
      </c>
      <c r="J548" s="3">
        <v>7483.4</v>
      </c>
      <c r="K548" t="s">
        <v>25</v>
      </c>
      <c r="L548" t="s">
        <v>52</v>
      </c>
      <c r="M548" t="s">
        <v>93</v>
      </c>
      <c r="N548" t="str">
        <f t="shared" si="17"/>
        <v>Nov</v>
      </c>
    </row>
    <row r="549" spans="1:14" x14ac:dyDescent="0.3">
      <c r="A549" t="s">
        <v>1085</v>
      </c>
      <c r="B549" t="s">
        <v>44</v>
      </c>
      <c r="C549" t="s">
        <v>59</v>
      </c>
      <c r="D549" t="s">
        <v>110</v>
      </c>
      <c r="E549" t="s">
        <v>36</v>
      </c>
      <c r="F549" s="3">
        <v>5.73</v>
      </c>
      <c r="G549">
        <v>1357</v>
      </c>
      <c r="H549" s="3">
        <f t="shared" si="16"/>
        <v>7775.6100000000006</v>
      </c>
      <c r="I549" s="3">
        <v>777.56</v>
      </c>
      <c r="J549" s="3">
        <v>6998.05</v>
      </c>
      <c r="K549" t="s">
        <v>61</v>
      </c>
      <c r="L549" t="s">
        <v>52</v>
      </c>
      <c r="M549" t="s">
        <v>53</v>
      </c>
      <c r="N549" t="str">
        <f t="shared" si="17"/>
        <v>Feb</v>
      </c>
    </row>
    <row r="550" spans="1:14" x14ac:dyDescent="0.3">
      <c r="A550" t="s">
        <v>1086</v>
      </c>
      <c r="B550" t="s">
        <v>525</v>
      </c>
      <c r="C550" t="s">
        <v>934</v>
      </c>
      <c r="D550" t="s">
        <v>41</v>
      </c>
      <c r="E550" t="s">
        <v>17</v>
      </c>
      <c r="F550" s="3">
        <v>9.42</v>
      </c>
      <c r="G550">
        <v>1997</v>
      </c>
      <c r="H550" s="3">
        <f t="shared" si="16"/>
        <v>18811.740000000002</v>
      </c>
      <c r="I550" s="3">
        <v>2821.76</v>
      </c>
      <c r="J550" s="3">
        <v>15989.98</v>
      </c>
      <c r="K550" t="s">
        <v>119</v>
      </c>
      <c r="L550" t="s">
        <v>26</v>
      </c>
      <c r="M550" t="s">
        <v>62</v>
      </c>
      <c r="N550" t="str">
        <f t="shared" si="17"/>
        <v>Aug</v>
      </c>
    </row>
    <row r="551" spans="1:14" x14ac:dyDescent="0.3">
      <c r="A551" t="s">
        <v>1087</v>
      </c>
      <c r="B551" t="s">
        <v>551</v>
      </c>
      <c r="C551" t="s">
        <v>1088</v>
      </c>
      <c r="D551" t="s">
        <v>50</v>
      </c>
      <c r="E551" t="s">
        <v>17</v>
      </c>
      <c r="F551" s="3">
        <v>4.9000000000000004</v>
      </c>
      <c r="G551">
        <v>1543</v>
      </c>
      <c r="H551" s="3">
        <f t="shared" si="16"/>
        <v>7560.7000000000007</v>
      </c>
      <c r="I551" s="3">
        <v>0</v>
      </c>
      <c r="J551" s="3">
        <v>7560.7</v>
      </c>
      <c r="K551" t="s">
        <v>67</v>
      </c>
      <c r="L551" t="s">
        <v>26</v>
      </c>
      <c r="M551" t="s">
        <v>37</v>
      </c>
      <c r="N551" t="str">
        <f t="shared" si="17"/>
        <v>Jan</v>
      </c>
    </row>
    <row r="552" spans="1:14" x14ac:dyDescent="0.3">
      <c r="A552" t="s">
        <v>1089</v>
      </c>
      <c r="B552" t="s">
        <v>741</v>
      </c>
      <c r="C552" t="s">
        <v>546</v>
      </c>
      <c r="D552" t="s">
        <v>97</v>
      </c>
      <c r="E552" t="s">
        <v>32</v>
      </c>
      <c r="F552" s="3">
        <v>8.9</v>
      </c>
      <c r="G552">
        <v>73</v>
      </c>
      <c r="H552" s="3">
        <f t="shared" si="16"/>
        <v>649.70000000000005</v>
      </c>
      <c r="I552" s="3">
        <v>97.45</v>
      </c>
      <c r="J552" s="3">
        <v>552.25</v>
      </c>
      <c r="K552" t="s">
        <v>25</v>
      </c>
      <c r="L552" t="s">
        <v>19</v>
      </c>
      <c r="M552" t="s">
        <v>93</v>
      </c>
      <c r="N552" t="str">
        <f t="shared" si="17"/>
        <v>Feb</v>
      </c>
    </row>
    <row r="553" spans="1:14" x14ac:dyDescent="0.3">
      <c r="A553" t="s">
        <v>1090</v>
      </c>
      <c r="B553" t="s">
        <v>1024</v>
      </c>
      <c r="C553" t="s">
        <v>342</v>
      </c>
      <c r="D553" t="s">
        <v>71</v>
      </c>
      <c r="E553" t="s">
        <v>24</v>
      </c>
      <c r="F553" s="3">
        <v>10.34</v>
      </c>
      <c r="G553">
        <v>1833</v>
      </c>
      <c r="H553" s="3">
        <f t="shared" si="16"/>
        <v>18953.22</v>
      </c>
      <c r="I553" s="3">
        <v>2842.98</v>
      </c>
      <c r="J553" s="3">
        <v>16110.24</v>
      </c>
      <c r="K553" t="s">
        <v>61</v>
      </c>
      <c r="L553" t="s">
        <v>26</v>
      </c>
      <c r="M553" t="s">
        <v>62</v>
      </c>
      <c r="N553" t="str">
        <f t="shared" si="17"/>
        <v>May</v>
      </c>
    </row>
    <row r="554" spans="1:14" x14ac:dyDescent="0.3">
      <c r="A554" t="s">
        <v>1091</v>
      </c>
      <c r="B554" t="s">
        <v>535</v>
      </c>
      <c r="C554" t="s">
        <v>772</v>
      </c>
      <c r="D554" t="s">
        <v>71</v>
      </c>
      <c r="E554" t="s">
        <v>36</v>
      </c>
      <c r="F554" s="3">
        <v>8.61</v>
      </c>
      <c r="G554">
        <v>369</v>
      </c>
      <c r="H554" s="3">
        <f t="shared" si="16"/>
        <v>3177.0899999999997</v>
      </c>
      <c r="I554" s="3">
        <v>0</v>
      </c>
      <c r="J554" s="3">
        <v>3177.09</v>
      </c>
      <c r="K554" t="s">
        <v>18</v>
      </c>
      <c r="L554" t="s">
        <v>79</v>
      </c>
      <c r="M554" t="s">
        <v>53</v>
      </c>
      <c r="N554" t="str">
        <f t="shared" si="17"/>
        <v>May</v>
      </c>
    </row>
    <row r="555" spans="1:14" x14ac:dyDescent="0.3">
      <c r="A555" t="s">
        <v>1092</v>
      </c>
      <c r="B555" t="s">
        <v>878</v>
      </c>
      <c r="C555" t="s">
        <v>798</v>
      </c>
      <c r="D555" t="s">
        <v>31</v>
      </c>
      <c r="E555" t="s">
        <v>51</v>
      </c>
      <c r="F555" s="3">
        <v>8.91</v>
      </c>
      <c r="G555">
        <v>296</v>
      </c>
      <c r="H555" s="3">
        <f t="shared" si="16"/>
        <v>2637.36</v>
      </c>
      <c r="I555" s="3">
        <v>131.87</v>
      </c>
      <c r="J555" s="3">
        <v>2505.4899999999998</v>
      </c>
      <c r="K555" t="s">
        <v>25</v>
      </c>
      <c r="L555" t="s">
        <v>52</v>
      </c>
      <c r="M555" t="s">
        <v>27</v>
      </c>
      <c r="N555" t="str">
        <f t="shared" si="17"/>
        <v>Sep</v>
      </c>
    </row>
    <row r="556" spans="1:14" x14ac:dyDescent="0.3">
      <c r="A556" t="s">
        <v>1093</v>
      </c>
      <c r="B556" t="s">
        <v>1094</v>
      </c>
      <c r="C556" t="s">
        <v>146</v>
      </c>
      <c r="D556" t="s">
        <v>78</v>
      </c>
      <c r="E556" t="s">
        <v>42</v>
      </c>
      <c r="F556" s="3">
        <v>10.14</v>
      </c>
      <c r="G556">
        <v>1113</v>
      </c>
      <c r="H556" s="3">
        <f t="shared" si="16"/>
        <v>11285.820000000002</v>
      </c>
      <c r="I556" s="3">
        <v>1128.58</v>
      </c>
      <c r="J556" s="3">
        <v>10157.24</v>
      </c>
      <c r="K556" t="s">
        <v>61</v>
      </c>
      <c r="L556" t="s">
        <v>52</v>
      </c>
      <c r="M556" t="s">
        <v>20</v>
      </c>
      <c r="N556" t="str">
        <f t="shared" si="17"/>
        <v>Nov</v>
      </c>
    </row>
    <row r="557" spans="1:14" x14ac:dyDescent="0.3">
      <c r="A557" t="s">
        <v>1095</v>
      </c>
      <c r="B557" t="s">
        <v>269</v>
      </c>
      <c r="C557" t="s">
        <v>443</v>
      </c>
      <c r="D557" t="s">
        <v>60</v>
      </c>
      <c r="E557" t="s">
        <v>51</v>
      </c>
      <c r="F557" s="3">
        <v>6.44</v>
      </c>
      <c r="G557">
        <v>552</v>
      </c>
      <c r="H557" s="3">
        <f t="shared" si="16"/>
        <v>3554.88</v>
      </c>
      <c r="I557" s="3">
        <v>177.74</v>
      </c>
      <c r="J557" s="3">
        <v>3377.14</v>
      </c>
      <c r="K557" t="s">
        <v>61</v>
      </c>
      <c r="L557" t="s">
        <v>19</v>
      </c>
      <c r="M557" t="s">
        <v>93</v>
      </c>
      <c r="N557" t="str">
        <f t="shared" si="17"/>
        <v>Apr</v>
      </c>
    </row>
    <row r="558" spans="1:14" x14ac:dyDescent="0.3">
      <c r="A558" t="s">
        <v>1096</v>
      </c>
      <c r="B558" t="s">
        <v>788</v>
      </c>
      <c r="C558" t="s">
        <v>345</v>
      </c>
      <c r="D558" t="s">
        <v>71</v>
      </c>
      <c r="E558" t="s">
        <v>51</v>
      </c>
      <c r="F558" s="3">
        <v>5.37</v>
      </c>
      <c r="G558">
        <v>1115</v>
      </c>
      <c r="H558" s="3">
        <f t="shared" si="16"/>
        <v>5987.55</v>
      </c>
      <c r="I558" s="3">
        <v>0</v>
      </c>
      <c r="J558" s="3">
        <v>5987.55</v>
      </c>
      <c r="K558" t="s">
        <v>119</v>
      </c>
      <c r="L558" t="s">
        <v>52</v>
      </c>
      <c r="M558" t="s">
        <v>53</v>
      </c>
      <c r="N558" t="str">
        <f t="shared" si="17"/>
        <v>Sep</v>
      </c>
    </row>
    <row r="559" spans="1:14" x14ac:dyDescent="0.3">
      <c r="A559" t="s">
        <v>1097</v>
      </c>
      <c r="B559" t="s">
        <v>1098</v>
      </c>
      <c r="C559" t="s">
        <v>432</v>
      </c>
      <c r="D559" t="s">
        <v>78</v>
      </c>
      <c r="E559" t="s">
        <v>51</v>
      </c>
      <c r="F559" s="3">
        <v>9.56</v>
      </c>
      <c r="G559">
        <v>1651</v>
      </c>
      <c r="H559" s="3">
        <f t="shared" si="16"/>
        <v>15783.560000000001</v>
      </c>
      <c r="I559" s="3">
        <v>0</v>
      </c>
      <c r="J559" s="3">
        <v>15783.56</v>
      </c>
      <c r="K559" t="s">
        <v>25</v>
      </c>
      <c r="L559" t="s">
        <v>79</v>
      </c>
      <c r="M559" t="s">
        <v>62</v>
      </c>
      <c r="N559" t="str">
        <f t="shared" si="17"/>
        <v>Jan</v>
      </c>
    </row>
    <row r="560" spans="1:14" x14ac:dyDescent="0.3">
      <c r="A560" t="s">
        <v>1099</v>
      </c>
      <c r="B560" t="s">
        <v>747</v>
      </c>
      <c r="C560" t="s">
        <v>559</v>
      </c>
      <c r="D560" t="s">
        <v>78</v>
      </c>
      <c r="E560" t="s">
        <v>32</v>
      </c>
      <c r="F560" s="3">
        <v>4.87</v>
      </c>
      <c r="G560">
        <v>1484</v>
      </c>
      <c r="H560" s="3">
        <f t="shared" si="16"/>
        <v>7227.08</v>
      </c>
      <c r="I560" s="3">
        <v>1084.06</v>
      </c>
      <c r="J560" s="3">
        <v>6143.02</v>
      </c>
      <c r="K560" t="s">
        <v>119</v>
      </c>
      <c r="L560" t="s">
        <v>26</v>
      </c>
      <c r="M560" t="s">
        <v>53</v>
      </c>
      <c r="N560" t="str">
        <f t="shared" si="17"/>
        <v>Jul</v>
      </c>
    </row>
    <row r="561" spans="1:14" x14ac:dyDescent="0.3">
      <c r="A561" t="s">
        <v>1100</v>
      </c>
      <c r="B561" t="s">
        <v>44</v>
      </c>
      <c r="C561" t="s">
        <v>731</v>
      </c>
      <c r="D561" t="s">
        <v>50</v>
      </c>
      <c r="E561" t="s">
        <v>42</v>
      </c>
      <c r="F561" s="3">
        <v>11.82</v>
      </c>
      <c r="G561">
        <v>1883</v>
      </c>
      <c r="H561" s="3">
        <f t="shared" si="16"/>
        <v>22257.06</v>
      </c>
      <c r="I561" s="3">
        <v>2225.71</v>
      </c>
      <c r="J561" s="3">
        <v>20031.349999999999</v>
      </c>
      <c r="K561" t="s">
        <v>61</v>
      </c>
      <c r="L561" t="s">
        <v>79</v>
      </c>
      <c r="M561" t="s">
        <v>37</v>
      </c>
      <c r="N561" t="str">
        <f t="shared" si="17"/>
        <v>Feb</v>
      </c>
    </row>
    <row r="562" spans="1:14" x14ac:dyDescent="0.3">
      <c r="A562" t="s">
        <v>1101</v>
      </c>
      <c r="B562" t="s">
        <v>835</v>
      </c>
      <c r="C562" t="s">
        <v>183</v>
      </c>
      <c r="D562" t="s">
        <v>270</v>
      </c>
      <c r="E562" t="s">
        <v>36</v>
      </c>
      <c r="F562" s="3">
        <v>5.41</v>
      </c>
      <c r="G562">
        <v>1324</v>
      </c>
      <c r="H562" s="3">
        <f t="shared" si="16"/>
        <v>7162.84</v>
      </c>
      <c r="I562" s="3">
        <v>1074.43</v>
      </c>
      <c r="J562" s="3">
        <v>6088.41</v>
      </c>
      <c r="K562" t="s">
        <v>25</v>
      </c>
      <c r="L562" t="s">
        <v>52</v>
      </c>
      <c r="M562" t="s">
        <v>53</v>
      </c>
      <c r="N562" t="str">
        <f t="shared" si="17"/>
        <v>Apr</v>
      </c>
    </row>
    <row r="563" spans="1:14" x14ac:dyDescent="0.3">
      <c r="A563" t="s">
        <v>1102</v>
      </c>
      <c r="B563" t="s">
        <v>871</v>
      </c>
      <c r="C563" t="s">
        <v>314</v>
      </c>
      <c r="D563" t="s">
        <v>114</v>
      </c>
      <c r="E563" t="s">
        <v>36</v>
      </c>
      <c r="F563" s="3">
        <v>5.83</v>
      </c>
      <c r="G563">
        <v>331</v>
      </c>
      <c r="H563" s="3">
        <f t="shared" si="16"/>
        <v>1929.73</v>
      </c>
      <c r="I563" s="3">
        <v>0</v>
      </c>
      <c r="J563" s="3">
        <v>1929.73</v>
      </c>
      <c r="K563" t="s">
        <v>25</v>
      </c>
      <c r="L563" t="s">
        <v>19</v>
      </c>
      <c r="M563" t="s">
        <v>62</v>
      </c>
      <c r="N563" t="str">
        <f t="shared" si="17"/>
        <v>Dec</v>
      </c>
    </row>
    <row r="564" spans="1:14" x14ac:dyDescent="0.3">
      <c r="A564" t="s">
        <v>1103</v>
      </c>
      <c r="B564" t="s">
        <v>741</v>
      </c>
      <c r="C564" t="s">
        <v>554</v>
      </c>
      <c r="D564" t="s">
        <v>35</v>
      </c>
      <c r="E564" t="s">
        <v>36</v>
      </c>
      <c r="F564" s="3">
        <v>11.16</v>
      </c>
      <c r="G564">
        <v>1509</v>
      </c>
      <c r="H564" s="3">
        <f t="shared" si="16"/>
        <v>16840.439999999999</v>
      </c>
      <c r="I564" s="3">
        <v>0</v>
      </c>
      <c r="J564" s="3">
        <v>16840.439999999999</v>
      </c>
      <c r="K564" t="s">
        <v>67</v>
      </c>
      <c r="L564" t="s">
        <v>19</v>
      </c>
      <c r="M564" t="s">
        <v>62</v>
      </c>
      <c r="N564" t="str">
        <f t="shared" si="17"/>
        <v>Feb</v>
      </c>
    </row>
    <row r="565" spans="1:14" x14ac:dyDescent="0.3">
      <c r="A565" t="s">
        <v>1104</v>
      </c>
      <c r="B565" t="s">
        <v>319</v>
      </c>
      <c r="C565" t="s">
        <v>297</v>
      </c>
      <c r="D565" t="s">
        <v>155</v>
      </c>
      <c r="E565" t="s">
        <v>51</v>
      </c>
      <c r="F565" s="3">
        <v>7.17</v>
      </c>
      <c r="G565">
        <v>1629</v>
      </c>
      <c r="H565" s="3">
        <f t="shared" si="16"/>
        <v>11679.93</v>
      </c>
      <c r="I565" s="3">
        <v>1751.99</v>
      </c>
      <c r="J565" s="3">
        <v>9927.94</v>
      </c>
      <c r="K565" t="s">
        <v>61</v>
      </c>
      <c r="L565" t="s">
        <v>52</v>
      </c>
      <c r="M565" t="s">
        <v>27</v>
      </c>
      <c r="N565" t="str">
        <f t="shared" si="17"/>
        <v>Jan</v>
      </c>
    </row>
    <row r="566" spans="1:14" x14ac:dyDescent="0.3">
      <c r="A566" t="s">
        <v>1105</v>
      </c>
      <c r="B566" t="s">
        <v>64</v>
      </c>
      <c r="C566" t="s">
        <v>510</v>
      </c>
      <c r="D566" t="s">
        <v>97</v>
      </c>
      <c r="E566" t="s">
        <v>36</v>
      </c>
      <c r="F566" s="3">
        <v>2.2599999999999998</v>
      </c>
      <c r="G566">
        <v>1608</v>
      </c>
      <c r="H566" s="3">
        <f t="shared" si="16"/>
        <v>3634.0799999999995</v>
      </c>
      <c r="I566" s="3">
        <v>545.11</v>
      </c>
      <c r="J566" s="3">
        <v>3088.97</v>
      </c>
      <c r="K566" t="s">
        <v>18</v>
      </c>
      <c r="L566" t="s">
        <v>52</v>
      </c>
      <c r="M566" t="s">
        <v>62</v>
      </c>
      <c r="N566" t="str">
        <f t="shared" si="17"/>
        <v>Jan</v>
      </c>
    </row>
    <row r="567" spans="1:14" x14ac:dyDescent="0.3">
      <c r="A567" t="s">
        <v>1106</v>
      </c>
      <c r="B567" t="s">
        <v>884</v>
      </c>
      <c r="C567" t="s">
        <v>264</v>
      </c>
      <c r="D567" t="s">
        <v>66</v>
      </c>
      <c r="E567" t="s">
        <v>24</v>
      </c>
      <c r="F567" s="3">
        <v>3.15</v>
      </c>
      <c r="G567">
        <v>1593</v>
      </c>
      <c r="H567" s="3">
        <f t="shared" si="16"/>
        <v>5017.95</v>
      </c>
      <c r="I567" s="3">
        <v>250.9</v>
      </c>
      <c r="J567" s="3">
        <v>4767.05</v>
      </c>
      <c r="K567" t="s">
        <v>119</v>
      </c>
      <c r="L567" t="s">
        <v>52</v>
      </c>
      <c r="M567" t="s">
        <v>62</v>
      </c>
      <c r="N567" t="str">
        <f t="shared" si="17"/>
        <v>Apr</v>
      </c>
    </row>
    <row r="568" spans="1:14" x14ac:dyDescent="0.3">
      <c r="A568" t="s">
        <v>1107</v>
      </c>
      <c r="B568" t="s">
        <v>1054</v>
      </c>
      <c r="C568" t="s">
        <v>448</v>
      </c>
      <c r="D568" t="s">
        <v>60</v>
      </c>
      <c r="E568" t="s">
        <v>17</v>
      </c>
      <c r="F568" s="3">
        <v>11.91</v>
      </c>
      <c r="G568">
        <v>1087</v>
      </c>
      <c r="H568" s="3">
        <f t="shared" si="16"/>
        <v>12946.17</v>
      </c>
      <c r="I568" s="3">
        <v>647.30999999999995</v>
      </c>
      <c r="J568" s="3">
        <v>12298.86</v>
      </c>
      <c r="K568" t="s">
        <v>119</v>
      </c>
      <c r="L568" t="s">
        <v>52</v>
      </c>
      <c r="M568" t="s">
        <v>27</v>
      </c>
      <c r="N568" t="str">
        <f t="shared" si="17"/>
        <v>Jan</v>
      </c>
    </row>
    <row r="569" spans="1:14" x14ac:dyDescent="0.3">
      <c r="A569" t="s">
        <v>1108</v>
      </c>
      <c r="B569" t="s">
        <v>102</v>
      </c>
      <c r="C569" t="s">
        <v>402</v>
      </c>
      <c r="D569" t="s">
        <v>270</v>
      </c>
      <c r="E569" t="s">
        <v>17</v>
      </c>
      <c r="F569" s="3">
        <v>11.33</v>
      </c>
      <c r="G569">
        <v>1545</v>
      </c>
      <c r="H569" s="3">
        <f t="shared" si="16"/>
        <v>17504.849999999999</v>
      </c>
      <c r="I569" s="3">
        <v>0</v>
      </c>
      <c r="J569" s="3">
        <v>17504.849999999999</v>
      </c>
      <c r="K569" t="s">
        <v>61</v>
      </c>
      <c r="L569" t="s">
        <v>52</v>
      </c>
      <c r="M569" t="s">
        <v>27</v>
      </c>
      <c r="N569" t="str">
        <f t="shared" si="17"/>
        <v>Jun</v>
      </c>
    </row>
    <row r="570" spans="1:14" x14ac:dyDescent="0.3">
      <c r="A570" t="s">
        <v>1109</v>
      </c>
      <c r="B570" t="s">
        <v>1110</v>
      </c>
      <c r="C570" t="s">
        <v>448</v>
      </c>
      <c r="D570" t="s">
        <v>41</v>
      </c>
      <c r="E570" t="s">
        <v>24</v>
      </c>
      <c r="F570" s="3">
        <v>13.16</v>
      </c>
      <c r="G570">
        <v>466</v>
      </c>
      <c r="H570" s="3">
        <f t="shared" si="16"/>
        <v>6132.56</v>
      </c>
      <c r="I570" s="3">
        <v>0</v>
      </c>
      <c r="J570" s="3">
        <v>6132.56</v>
      </c>
      <c r="K570" t="s">
        <v>67</v>
      </c>
      <c r="L570" t="s">
        <v>52</v>
      </c>
      <c r="M570" t="s">
        <v>53</v>
      </c>
      <c r="N570" t="str">
        <f t="shared" si="17"/>
        <v>Jun</v>
      </c>
    </row>
    <row r="571" spans="1:14" x14ac:dyDescent="0.3">
      <c r="A571" t="s">
        <v>1111</v>
      </c>
      <c r="B571" t="s">
        <v>319</v>
      </c>
      <c r="C571" t="s">
        <v>125</v>
      </c>
      <c r="D571" t="s">
        <v>35</v>
      </c>
      <c r="E571" t="s">
        <v>42</v>
      </c>
      <c r="F571" s="3">
        <v>3.12</v>
      </c>
      <c r="G571">
        <v>1636</v>
      </c>
      <c r="H571" s="3">
        <f t="shared" si="16"/>
        <v>5104.3200000000006</v>
      </c>
      <c r="I571" s="3">
        <v>255.22</v>
      </c>
      <c r="J571" s="3">
        <v>4849.1000000000004</v>
      </c>
      <c r="K571" t="s">
        <v>18</v>
      </c>
      <c r="L571" t="s">
        <v>19</v>
      </c>
      <c r="M571" t="s">
        <v>20</v>
      </c>
      <c r="N571" t="str">
        <f t="shared" si="17"/>
        <v>Jan</v>
      </c>
    </row>
    <row r="572" spans="1:14" x14ac:dyDescent="0.3">
      <c r="A572" t="s">
        <v>1112</v>
      </c>
      <c r="B572" t="s">
        <v>241</v>
      </c>
      <c r="C572" t="s">
        <v>100</v>
      </c>
      <c r="D572" t="s">
        <v>92</v>
      </c>
      <c r="E572" t="s">
        <v>36</v>
      </c>
      <c r="F572" s="3">
        <v>6.51</v>
      </c>
      <c r="G572">
        <v>203</v>
      </c>
      <c r="H572" s="3">
        <f t="shared" si="16"/>
        <v>1321.53</v>
      </c>
      <c r="I572" s="3">
        <v>66.08</v>
      </c>
      <c r="J572" s="3">
        <v>1255.45</v>
      </c>
      <c r="K572" t="s">
        <v>67</v>
      </c>
      <c r="L572" t="s">
        <v>52</v>
      </c>
      <c r="M572" t="s">
        <v>93</v>
      </c>
      <c r="N572" t="str">
        <f t="shared" si="17"/>
        <v>Dec</v>
      </c>
    </row>
    <row r="573" spans="1:14" x14ac:dyDescent="0.3">
      <c r="A573" t="s">
        <v>1113</v>
      </c>
      <c r="B573" t="s">
        <v>771</v>
      </c>
      <c r="C573" t="s">
        <v>342</v>
      </c>
      <c r="D573" t="s">
        <v>110</v>
      </c>
      <c r="E573" t="s">
        <v>17</v>
      </c>
      <c r="F573" s="3">
        <v>2.31</v>
      </c>
      <c r="G573">
        <v>748</v>
      </c>
      <c r="H573" s="3">
        <f t="shared" si="16"/>
        <v>1727.88</v>
      </c>
      <c r="I573" s="3">
        <v>86.39</v>
      </c>
      <c r="J573" s="3">
        <v>1641.49</v>
      </c>
      <c r="K573" t="s">
        <v>25</v>
      </c>
      <c r="L573" t="s">
        <v>19</v>
      </c>
      <c r="M573" t="s">
        <v>62</v>
      </c>
      <c r="N573" t="str">
        <f t="shared" si="17"/>
        <v>Dec</v>
      </c>
    </row>
    <row r="574" spans="1:14" x14ac:dyDescent="0.3">
      <c r="A574" t="s">
        <v>1114</v>
      </c>
      <c r="B574" t="s">
        <v>913</v>
      </c>
      <c r="C574" t="s">
        <v>634</v>
      </c>
      <c r="D574" t="s">
        <v>110</v>
      </c>
      <c r="E574" t="s">
        <v>42</v>
      </c>
      <c r="F574" s="3">
        <v>12.15</v>
      </c>
      <c r="G574">
        <v>1569</v>
      </c>
      <c r="H574" s="3">
        <f t="shared" si="16"/>
        <v>19063.350000000002</v>
      </c>
      <c r="I574" s="3">
        <v>1906.34</v>
      </c>
      <c r="J574" s="3">
        <v>17157.009999999998</v>
      </c>
      <c r="K574" t="s">
        <v>119</v>
      </c>
      <c r="L574" t="s">
        <v>26</v>
      </c>
      <c r="M574" t="s">
        <v>93</v>
      </c>
      <c r="N574" t="str">
        <f t="shared" si="17"/>
        <v>Sep</v>
      </c>
    </row>
    <row r="575" spans="1:14" x14ac:dyDescent="0.3">
      <c r="A575" t="s">
        <v>1115</v>
      </c>
      <c r="B575" t="s">
        <v>889</v>
      </c>
      <c r="C575" t="s">
        <v>469</v>
      </c>
      <c r="D575" t="s">
        <v>41</v>
      </c>
      <c r="E575" t="s">
        <v>17</v>
      </c>
      <c r="F575" s="3">
        <v>3.32</v>
      </c>
      <c r="G575">
        <v>1860</v>
      </c>
      <c r="H575" s="3">
        <f t="shared" si="16"/>
        <v>6175.2</v>
      </c>
      <c r="I575" s="3">
        <v>0</v>
      </c>
      <c r="J575" s="3">
        <v>6175.2</v>
      </c>
      <c r="K575" t="s">
        <v>119</v>
      </c>
      <c r="L575" t="s">
        <v>52</v>
      </c>
      <c r="M575" t="s">
        <v>20</v>
      </c>
      <c r="N575" t="str">
        <f t="shared" si="17"/>
        <v>Dec</v>
      </c>
    </row>
    <row r="576" spans="1:14" x14ac:dyDescent="0.3">
      <c r="A576" t="s">
        <v>1116</v>
      </c>
      <c r="B576" t="s">
        <v>347</v>
      </c>
      <c r="C576" t="s">
        <v>214</v>
      </c>
      <c r="D576" t="s">
        <v>114</v>
      </c>
      <c r="E576" t="s">
        <v>36</v>
      </c>
      <c r="F576" s="3">
        <v>9.15</v>
      </c>
      <c r="G576">
        <v>1133</v>
      </c>
      <c r="H576" s="3">
        <f t="shared" si="16"/>
        <v>10366.950000000001</v>
      </c>
      <c r="I576" s="3">
        <v>1036.7</v>
      </c>
      <c r="J576" s="3">
        <v>9330.25</v>
      </c>
      <c r="K576" t="s">
        <v>61</v>
      </c>
      <c r="L576" t="s">
        <v>52</v>
      </c>
      <c r="M576" t="s">
        <v>53</v>
      </c>
      <c r="N576" t="str">
        <f t="shared" si="17"/>
        <v>May</v>
      </c>
    </row>
    <row r="577" spans="1:14" x14ac:dyDescent="0.3">
      <c r="A577" t="s">
        <v>1117</v>
      </c>
      <c r="B577" t="s">
        <v>705</v>
      </c>
      <c r="C577" t="s">
        <v>45</v>
      </c>
      <c r="D577" t="s">
        <v>270</v>
      </c>
      <c r="E577" t="s">
        <v>24</v>
      </c>
      <c r="F577" s="3">
        <v>8.67</v>
      </c>
      <c r="G577">
        <v>940</v>
      </c>
      <c r="H577" s="3">
        <f t="shared" si="16"/>
        <v>8149.8</v>
      </c>
      <c r="I577" s="3">
        <v>814.98</v>
      </c>
      <c r="J577" s="3">
        <v>7334.82</v>
      </c>
      <c r="K577" t="s">
        <v>61</v>
      </c>
      <c r="L577" t="s">
        <v>79</v>
      </c>
      <c r="M577" t="s">
        <v>37</v>
      </c>
      <c r="N577" t="str">
        <f t="shared" si="17"/>
        <v>Nov</v>
      </c>
    </row>
    <row r="578" spans="1:14" x14ac:dyDescent="0.3">
      <c r="A578" t="s">
        <v>1118</v>
      </c>
      <c r="B578" t="s">
        <v>1119</v>
      </c>
      <c r="C578" t="s">
        <v>392</v>
      </c>
      <c r="D578" t="s">
        <v>135</v>
      </c>
      <c r="E578" t="s">
        <v>32</v>
      </c>
      <c r="F578" s="3">
        <v>11.4</v>
      </c>
      <c r="G578">
        <v>1828</v>
      </c>
      <c r="H578" s="3">
        <f t="shared" si="16"/>
        <v>20839.2</v>
      </c>
      <c r="I578" s="3">
        <v>0</v>
      </c>
      <c r="J578" s="3">
        <v>20839.2</v>
      </c>
      <c r="K578" t="s">
        <v>25</v>
      </c>
      <c r="L578" t="s">
        <v>79</v>
      </c>
      <c r="M578" t="s">
        <v>20</v>
      </c>
      <c r="N578" t="str">
        <f t="shared" si="17"/>
        <v>Jan</v>
      </c>
    </row>
    <row r="579" spans="1:14" x14ac:dyDescent="0.3">
      <c r="A579" t="s">
        <v>1120</v>
      </c>
      <c r="B579" t="s">
        <v>208</v>
      </c>
      <c r="C579" t="s">
        <v>402</v>
      </c>
      <c r="D579" t="s">
        <v>97</v>
      </c>
      <c r="E579" t="s">
        <v>17</v>
      </c>
      <c r="F579" s="3">
        <v>14.56</v>
      </c>
      <c r="G579">
        <v>1697</v>
      </c>
      <c r="H579" s="3">
        <f t="shared" ref="H579:H601" si="18">F579*G579</f>
        <v>24708.32</v>
      </c>
      <c r="I579" s="3">
        <v>3706.25</v>
      </c>
      <c r="J579" s="3">
        <v>21002.07</v>
      </c>
      <c r="K579" t="s">
        <v>67</v>
      </c>
      <c r="L579" t="s">
        <v>52</v>
      </c>
      <c r="M579" t="s">
        <v>20</v>
      </c>
      <c r="N579" t="str">
        <f t="shared" ref="N579:N601" si="19">TEXT(B579,"mmm")</f>
        <v>May</v>
      </c>
    </row>
    <row r="580" spans="1:14" x14ac:dyDescent="0.3">
      <c r="A580" t="s">
        <v>1121</v>
      </c>
      <c r="B580" t="s">
        <v>232</v>
      </c>
      <c r="C580" t="s">
        <v>725</v>
      </c>
      <c r="D580" t="s">
        <v>46</v>
      </c>
      <c r="E580" t="s">
        <v>51</v>
      </c>
      <c r="F580" s="3">
        <v>7.03</v>
      </c>
      <c r="G580">
        <v>679</v>
      </c>
      <c r="H580" s="3">
        <f t="shared" si="18"/>
        <v>4773.37</v>
      </c>
      <c r="I580" s="3">
        <v>0</v>
      </c>
      <c r="J580" s="3">
        <v>4773.37</v>
      </c>
      <c r="K580" t="s">
        <v>18</v>
      </c>
      <c r="L580" t="s">
        <v>19</v>
      </c>
      <c r="M580" t="s">
        <v>93</v>
      </c>
      <c r="N580" t="str">
        <f t="shared" si="19"/>
        <v>Mar</v>
      </c>
    </row>
    <row r="581" spans="1:14" x14ac:dyDescent="0.3">
      <c r="A581" t="s">
        <v>1122</v>
      </c>
      <c r="B581" t="s">
        <v>434</v>
      </c>
      <c r="C581" t="s">
        <v>167</v>
      </c>
      <c r="D581" t="s">
        <v>225</v>
      </c>
      <c r="E581" t="s">
        <v>36</v>
      </c>
      <c r="F581" s="3">
        <v>2.95</v>
      </c>
      <c r="G581">
        <v>412</v>
      </c>
      <c r="H581" s="3">
        <f t="shared" si="18"/>
        <v>1215.4000000000001</v>
      </c>
      <c r="I581" s="3">
        <v>0</v>
      </c>
      <c r="J581" s="3">
        <v>1215.4000000000001</v>
      </c>
      <c r="K581" t="s">
        <v>18</v>
      </c>
      <c r="L581" t="s">
        <v>52</v>
      </c>
      <c r="M581" t="s">
        <v>27</v>
      </c>
      <c r="N581" t="str">
        <f t="shared" si="19"/>
        <v>Mar</v>
      </c>
    </row>
    <row r="582" spans="1:14" x14ac:dyDescent="0.3">
      <c r="A582" t="s">
        <v>1123</v>
      </c>
      <c r="B582" t="s">
        <v>1124</v>
      </c>
      <c r="C582" t="s">
        <v>602</v>
      </c>
      <c r="D582" t="s">
        <v>92</v>
      </c>
      <c r="E582" t="s">
        <v>17</v>
      </c>
      <c r="F582" s="3">
        <v>9.4700000000000006</v>
      </c>
      <c r="G582">
        <v>120</v>
      </c>
      <c r="H582" s="3">
        <f t="shared" si="18"/>
        <v>1136.4000000000001</v>
      </c>
      <c r="I582" s="3">
        <v>113.64</v>
      </c>
      <c r="J582" s="3">
        <v>1022.76</v>
      </c>
      <c r="K582" t="s">
        <v>67</v>
      </c>
      <c r="L582" t="s">
        <v>19</v>
      </c>
      <c r="M582" t="s">
        <v>93</v>
      </c>
      <c r="N582" t="str">
        <f t="shared" si="19"/>
        <v>Sep</v>
      </c>
    </row>
    <row r="583" spans="1:14" x14ac:dyDescent="0.3">
      <c r="A583" t="s">
        <v>1125</v>
      </c>
      <c r="B583" t="s">
        <v>578</v>
      </c>
      <c r="C583" t="s">
        <v>662</v>
      </c>
      <c r="D583" t="s">
        <v>114</v>
      </c>
      <c r="E583" t="s">
        <v>24</v>
      </c>
      <c r="F583" s="3">
        <v>7.82</v>
      </c>
      <c r="G583">
        <v>1328</v>
      </c>
      <c r="H583" s="3">
        <f t="shared" si="18"/>
        <v>10384.960000000001</v>
      </c>
      <c r="I583" s="3">
        <v>0</v>
      </c>
      <c r="J583" s="3">
        <v>10384.959999999999</v>
      </c>
      <c r="K583" t="s">
        <v>61</v>
      </c>
      <c r="L583" t="s">
        <v>52</v>
      </c>
      <c r="M583" t="s">
        <v>53</v>
      </c>
      <c r="N583" t="str">
        <f t="shared" si="19"/>
        <v>Apr</v>
      </c>
    </row>
    <row r="584" spans="1:14" x14ac:dyDescent="0.3">
      <c r="A584" t="s">
        <v>1126</v>
      </c>
      <c r="B584" t="s">
        <v>901</v>
      </c>
      <c r="C584" t="s">
        <v>131</v>
      </c>
      <c r="D584" t="s">
        <v>92</v>
      </c>
      <c r="E584" t="s">
        <v>51</v>
      </c>
      <c r="F584" s="3">
        <v>8.64</v>
      </c>
      <c r="G584">
        <v>1523</v>
      </c>
      <c r="H584" s="3">
        <f t="shared" si="18"/>
        <v>13158.720000000001</v>
      </c>
      <c r="I584" s="3">
        <v>0</v>
      </c>
      <c r="J584" s="3">
        <v>13158.72</v>
      </c>
      <c r="K584" t="s">
        <v>61</v>
      </c>
      <c r="L584" t="s">
        <v>19</v>
      </c>
      <c r="M584" t="s">
        <v>62</v>
      </c>
      <c r="N584" t="str">
        <f t="shared" si="19"/>
        <v>Dec</v>
      </c>
    </row>
    <row r="585" spans="1:14" x14ac:dyDescent="0.3">
      <c r="A585" t="s">
        <v>1127</v>
      </c>
      <c r="B585" t="s">
        <v>1070</v>
      </c>
      <c r="C585" t="s">
        <v>546</v>
      </c>
      <c r="D585" t="s">
        <v>82</v>
      </c>
      <c r="E585" t="s">
        <v>17</v>
      </c>
      <c r="F585" s="3">
        <v>4.62</v>
      </c>
      <c r="G585">
        <v>809</v>
      </c>
      <c r="H585" s="3">
        <f t="shared" si="18"/>
        <v>3737.58</v>
      </c>
      <c r="I585" s="3">
        <v>186.88</v>
      </c>
      <c r="J585" s="3">
        <v>3550.7</v>
      </c>
      <c r="K585" t="s">
        <v>67</v>
      </c>
      <c r="L585" t="s">
        <v>26</v>
      </c>
      <c r="M585" t="s">
        <v>20</v>
      </c>
      <c r="N585" t="str">
        <f t="shared" si="19"/>
        <v>Sep</v>
      </c>
    </row>
    <row r="586" spans="1:14" x14ac:dyDescent="0.3">
      <c r="A586" t="s">
        <v>1128</v>
      </c>
      <c r="B586" t="s">
        <v>284</v>
      </c>
      <c r="C586" t="s">
        <v>167</v>
      </c>
      <c r="D586" t="s">
        <v>31</v>
      </c>
      <c r="E586" t="s">
        <v>17</v>
      </c>
      <c r="F586" s="3">
        <v>9.0299999999999994</v>
      </c>
      <c r="G586">
        <v>1548</v>
      </c>
      <c r="H586" s="3">
        <f t="shared" si="18"/>
        <v>13978.439999999999</v>
      </c>
      <c r="I586" s="3">
        <v>0</v>
      </c>
      <c r="J586" s="3">
        <v>13978.44</v>
      </c>
      <c r="K586" t="s">
        <v>25</v>
      </c>
      <c r="L586" t="s">
        <v>79</v>
      </c>
      <c r="M586" t="s">
        <v>27</v>
      </c>
      <c r="N586" t="str">
        <f t="shared" si="19"/>
        <v>Nov</v>
      </c>
    </row>
    <row r="587" spans="1:14" x14ac:dyDescent="0.3">
      <c r="A587" t="s">
        <v>1129</v>
      </c>
      <c r="B587" t="s">
        <v>1130</v>
      </c>
      <c r="C587" t="s">
        <v>30</v>
      </c>
      <c r="D587" t="s">
        <v>78</v>
      </c>
      <c r="E587" t="s">
        <v>24</v>
      </c>
      <c r="F587" s="3">
        <v>3.75</v>
      </c>
      <c r="G587">
        <v>389</v>
      </c>
      <c r="H587" s="3">
        <f t="shared" si="18"/>
        <v>1458.75</v>
      </c>
      <c r="I587" s="3">
        <v>218.81</v>
      </c>
      <c r="J587" s="3">
        <v>1239.94</v>
      </c>
      <c r="K587" t="s">
        <v>25</v>
      </c>
      <c r="L587" t="s">
        <v>79</v>
      </c>
      <c r="M587" t="s">
        <v>27</v>
      </c>
      <c r="N587" t="str">
        <f t="shared" si="19"/>
        <v>Aug</v>
      </c>
    </row>
    <row r="588" spans="1:14" x14ac:dyDescent="0.3">
      <c r="A588" t="s">
        <v>1131</v>
      </c>
      <c r="B588" t="s">
        <v>422</v>
      </c>
      <c r="C588" t="s">
        <v>222</v>
      </c>
      <c r="D588" t="s">
        <v>92</v>
      </c>
      <c r="E588" t="s">
        <v>32</v>
      </c>
      <c r="F588" s="3">
        <v>14.1</v>
      </c>
      <c r="G588">
        <v>1868</v>
      </c>
      <c r="H588" s="3">
        <f t="shared" si="18"/>
        <v>26338.799999999999</v>
      </c>
      <c r="I588" s="3">
        <v>2633.88</v>
      </c>
      <c r="J588" s="3">
        <v>23704.92</v>
      </c>
      <c r="K588" t="s">
        <v>25</v>
      </c>
      <c r="L588" t="s">
        <v>79</v>
      </c>
      <c r="M588" t="s">
        <v>53</v>
      </c>
      <c r="N588" t="str">
        <f t="shared" si="19"/>
        <v>Mar</v>
      </c>
    </row>
    <row r="589" spans="1:14" x14ac:dyDescent="0.3">
      <c r="A589" t="s">
        <v>1132</v>
      </c>
      <c r="B589" t="s">
        <v>406</v>
      </c>
      <c r="C589" t="s">
        <v>831</v>
      </c>
      <c r="D589" t="s">
        <v>78</v>
      </c>
      <c r="E589" t="s">
        <v>17</v>
      </c>
      <c r="F589" s="3">
        <v>5.87</v>
      </c>
      <c r="G589">
        <v>512</v>
      </c>
      <c r="H589" s="3">
        <f t="shared" si="18"/>
        <v>3005.44</v>
      </c>
      <c r="I589" s="3">
        <v>150.27000000000001</v>
      </c>
      <c r="J589" s="3">
        <v>2855.17</v>
      </c>
      <c r="K589" t="s">
        <v>119</v>
      </c>
      <c r="L589" t="s">
        <v>79</v>
      </c>
      <c r="M589" t="s">
        <v>53</v>
      </c>
      <c r="N589" t="str">
        <f t="shared" si="19"/>
        <v>Jul</v>
      </c>
    </row>
    <row r="590" spans="1:14" x14ac:dyDescent="0.3">
      <c r="A590" t="s">
        <v>1133</v>
      </c>
      <c r="B590" t="s">
        <v>813</v>
      </c>
      <c r="C590" t="s">
        <v>887</v>
      </c>
      <c r="D590" t="s">
        <v>66</v>
      </c>
      <c r="E590" t="s">
        <v>24</v>
      </c>
      <c r="F590" s="3">
        <v>11.31</v>
      </c>
      <c r="G590">
        <v>602</v>
      </c>
      <c r="H590" s="3">
        <f t="shared" si="18"/>
        <v>6808.62</v>
      </c>
      <c r="I590" s="3">
        <v>0</v>
      </c>
      <c r="J590" s="3">
        <v>6808.62</v>
      </c>
      <c r="K590" t="s">
        <v>25</v>
      </c>
      <c r="L590" t="s">
        <v>26</v>
      </c>
      <c r="M590" t="s">
        <v>53</v>
      </c>
      <c r="N590" t="str">
        <f t="shared" si="19"/>
        <v>Aug</v>
      </c>
    </row>
    <row r="591" spans="1:14" x14ac:dyDescent="0.3">
      <c r="A591" t="s">
        <v>1134</v>
      </c>
      <c r="B591" t="s">
        <v>1028</v>
      </c>
      <c r="C591" t="s">
        <v>151</v>
      </c>
      <c r="D591" t="s">
        <v>50</v>
      </c>
      <c r="E591" t="s">
        <v>36</v>
      </c>
      <c r="F591" s="3">
        <v>13.05</v>
      </c>
      <c r="G591">
        <v>64</v>
      </c>
      <c r="H591" s="3">
        <f t="shared" si="18"/>
        <v>835.2</v>
      </c>
      <c r="I591" s="3">
        <v>83.52</v>
      </c>
      <c r="J591" s="3">
        <v>751.68</v>
      </c>
      <c r="K591" t="s">
        <v>25</v>
      </c>
      <c r="L591" t="s">
        <v>26</v>
      </c>
      <c r="M591" t="s">
        <v>93</v>
      </c>
      <c r="N591" t="str">
        <f t="shared" si="19"/>
        <v>Jan</v>
      </c>
    </row>
    <row r="592" spans="1:14" x14ac:dyDescent="0.3">
      <c r="A592" t="s">
        <v>1135</v>
      </c>
      <c r="B592" t="s">
        <v>597</v>
      </c>
      <c r="C592" t="s">
        <v>70</v>
      </c>
      <c r="D592" t="s">
        <v>41</v>
      </c>
      <c r="E592" t="s">
        <v>36</v>
      </c>
      <c r="F592" s="3">
        <v>3.37</v>
      </c>
      <c r="G592">
        <v>771</v>
      </c>
      <c r="H592" s="3">
        <f t="shared" si="18"/>
        <v>2598.27</v>
      </c>
      <c r="I592" s="3">
        <v>129.91</v>
      </c>
      <c r="J592" s="3">
        <v>2468.36</v>
      </c>
      <c r="K592" t="s">
        <v>67</v>
      </c>
      <c r="L592" t="s">
        <v>79</v>
      </c>
      <c r="M592" t="s">
        <v>53</v>
      </c>
      <c r="N592" t="str">
        <f t="shared" si="19"/>
        <v>Jan</v>
      </c>
    </row>
    <row r="593" spans="1:14" x14ac:dyDescent="0.3">
      <c r="A593" t="s">
        <v>1136</v>
      </c>
      <c r="B593" t="s">
        <v>759</v>
      </c>
      <c r="C593" t="s">
        <v>332</v>
      </c>
      <c r="D593" t="s">
        <v>66</v>
      </c>
      <c r="E593" t="s">
        <v>42</v>
      </c>
      <c r="F593" s="3">
        <v>13.89</v>
      </c>
      <c r="G593">
        <v>1523</v>
      </c>
      <c r="H593" s="3">
        <f t="shared" si="18"/>
        <v>21154.47</v>
      </c>
      <c r="I593" s="3">
        <v>0</v>
      </c>
      <c r="J593" s="3">
        <v>21154.47</v>
      </c>
      <c r="K593" t="s">
        <v>61</v>
      </c>
      <c r="L593" t="s">
        <v>52</v>
      </c>
      <c r="M593" t="s">
        <v>62</v>
      </c>
      <c r="N593" t="str">
        <f t="shared" si="19"/>
        <v>Feb</v>
      </c>
    </row>
    <row r="594" spans="1:14" x14ac:dyDescent="0.3">
      <c r="A594" t="s">
        <v>1137</v>
      </c>
      <c r="B594" t="s">
        <v>913</v>
      </c>
      <c r="C594" t="s">
        <v>202</v>
      </c>
      <c r="D594" t="s">
        <v>107</v>
      </c>
      <c r="E594" t="s">
        <v>24</v>
      </c>
      <c r="F594" s="3">
        <v>9.5399999999999991</v>
      </c>
      <c r="G594">
        <v>635</v>
      </c>
      <c r="H594" s="3">
        <f t="shared" si="18"/>
        <v>6057.9</v>
      </c>
      <c r="I594" s="3">
        <v>0</v>
      </c>
      <c r="J594" s="3">
        <v>6057.9</v>
      </c>
      <c r="K594" t="s">
        <v>25</v>
      </c>
      <c r="L594" t="s">
        <v>52</v>
      </c>
      <c r="M594" t="s">
        <v>93</v>
      </c>
      <c r="N594" t="str">
        <f t="shared" si="19"/>
        <v>Sep</v>
      </c>
    </row>
    <row r="595" spans="1:14" x14ac:dyDescent="0.3">
      <c r="A595" t="s">
        <v>1138</v>
      </c>
      <c r="B595" t="s">
        <v>533</v>
      </c>
      <c r="C595" t="s">
        <v>712</v>
      </c>
      <c r="D595" t="s">
        <v>110</v>
      </c>
      <c r="E595" t="s">
        <v>51</v>
      </c>
      <c r="F595" s="3">
        <v>13.38</v>
      </c>
      <c r="G595">
        <v>909</v>
      </c>
      <c r="H595" s="3">
        <f t="shared" si="18"/>
        <v>12162.42</v>
      </c>
      <c r="I595" s="3">
        <v>1824.36</v>
      </c>
      <c r="J595" s="3">
        <v>10338.06</v>
      </c>
      <c r="K595" t="s">
        <v>18</v>
      </c>
      <c r="L595" t="s">
        <v>26</v>
      </c>
      <c r="M595" t="s">
        <v>27</v>
      </c>
      <c r="N595" t="str">
        <f t="shared" si="19"/>
        <v>Jan</v>
      </c>
    </row>
    <row r="596" spans="1:14" x14ac:dyDescent="0.3">
      <c r="A596" t="s">
        <v>1139</v>
      </c>
      <c r="B596" t="s">
        <v>951</v>
      </c>
      <c r="C596" t="s">
        <v>154</v>
      </c>
      <c r="D596" t="s">
        <v>16</v>
      </c>
      <c r="E596" t="s">
        <v>17</v>
      </c>
      <c r="F596" s="3">
        <v>12</v>
      </c>
      <c r="G596">
        <v>803</v>
      </c>
      <c r="H596" s="3">
        <f t="shared" si="18"/>
        <v>9636</v>
      </c>
      <c r="I596" s="3">
        <v>0</v>
      </c>
      <c r="J596" s="3">
        <v>9636</v>
      </c>
      <c r="K596" t="s">
        <v>61</v>
      </c>
      <c r="L596" t="s">
        <v>19</v>
      </c>
      <c r="M596" t="s">
        <v>53</v>
      </c>
      <c r="N596" t="str">
        <f t="shared" si="19"/>
        <v>Dec</v>
      </c>
    </row>
    <row r="597" spans="1:14" x14ac:dyDescent="0.3">
      <c r="A597" t="s">
        <v>1140</v>
      </c>
      <c r="B597" t="s">
        <v>296</v>
      </c>
      <c r="C597" t="s">
        <v>146</v>
      </c>
      <c r="D597" t="s">
        <v>71</v>
      </c>
      <c r="E597" t="s">
        <v>51</v>
      </c>
      <c r="F597" s="3">
        <v>8.2799999999999994</v>
      </c>
      <c r="G597">
        <v>472</v>
      </c>
      <c r="H597" s="3">
        <f t="shared" si="18"/>
        <v>3908.16</v>
      </c>
      <c r="I597" s="3">
        <v>195.41</v>
      </c>
      <c r="J597" s="3">
        <v>3712.75</v>
      </c>
      <c r="K597" t="s">
        <v>18</v>
      </c>
      <c r="L597" t="s">
        <v>52</v>
      </c>
      <c r="M597" t="s">
        <v>37</v>
      </c>
      <c r="N597" t="str">
        <f t="shared" si="19"/>
        <v>Oct</v>
      </c>
    </row>
    <row r="598" spans="1:14" x14ac:dyDescent="0.3">
      <c r="A598" t="s">
        <v>1141</v>
      </c>
      <c r="B598" t="s">
        <v>853</v>
      </c>
      <c r="C598" t="s">
        <v>113</v>
      </c>
      <c r="D598" t="s">
        <v>135</v>
      </c>
      <c r="E598" t="s">
        <v>24</v>
      </c>
      <c r="F598" s="3">
        <v>4.5</v>
      </c>
      <c r="G598">
        <v>613</v>
      </c>
      <c r="H598" s="3">
        <f t="shared" si="18"/>
        <v>2758.5</v>
      </c>
      <c r="I598" s="3">
        <v>413.77</v>
      </c>
      <c r="J598" s="3">
        <v>2344.73</v>
      </c>
      <c r="K598" t="s">
        <v>67</v>
      </c>
      <c r="L598" t="s">
        <v>26</v>
      </c>
      <c r="M598" t="s">
        <v>53</v>
      </c>
      <c r="N598" t="str">
        <f t="shared" si="19"/>
        <v>Nov</v>
      </c>
    </row>
    <row r="599" spans="1:14" x14ac:dyDescent="0.3">
      <c r="A599" t="s">
        <v>1142</v>
      </c>
      <c r="B599" t="s">
        <v>1143</v>
      </c>
      <c r="C599" t="s">
        <v>100</v>
      </c>
      <c r="D599" t="s">
        <v>107</v>
      </c>
      <c r="E599" t="s">
        <v>17</v>
      </c>
      <c r="F599" s="3">
        <v>2.17</v>
      </c>
      <c r="G599">
        <v>837</v>
      </c>
      <c r="H599" s="3">
        <f t="shared" si="18"/>
        <v>1816.29</v>
      </c>
      <c r="I599" s="3">
        <v>181.63</v>
      </c>
      <c r="J599" s="3">
        <v>1634.66</v>
      </c>
      <c r="K599" t="s">
        <v>18</v>
      </c>
      <c r="L599" t="s">
        <v>52</v>
      </c>
      <c r="M599" t="s">
        <v>20</v>
      </c>
      <c r="N599" t="str">
        <f t="shared" si="19"/>
        <v>Feb</v>
      </c>
    </row>
    <row r="600" spans="1:14" x14ac:dyDescent="0.3">
      <c r="A600" t="s">
        <v>1144</v>
      </c>
      <c r="B600" t="s">
        <v>84</v>
      </c>
      <c r="C600" t="s">
        <v>392</v>
      </c>
      <c r="D600" t="s">
        <v>71</v>
      </c>
      <c r="E600" t="s">
        <v>36</v>
      </c>
      <c r="F600" s="3">
        <v>7.99</v>
      </c>
      <c r="G600">
        <v>425</v>
      </c>
      <c r="H600" s="3">
        <f t="shared" si="18"/>
        <v>3395.75</v>
      </c>
      <c r="I600" s="3">
        <v>509.36</v>
      </c>
      <c r="J600" s="3">
        <v>2886.39</v>
      </c>
      <c r="K600" t="s">
        <v>119</v>
      </c>
      <c r="L600" t="s">
        <v>26</v>
      </c>
      <c r="M600" t="s">
        <v>20</v>
      </c>
      <c r="N600" t="str">
        <f t="shared" si="19"/>
        <v>Aug</v>
      </c>
    </row>
    <row r="601" spans="1:14" x14ac:dyDescent="0.3">
      <c r="A601" t="s">
        <v>1145</v>
      </c>
      <c r="B601" t="s">
        <v>383</v>
      </c>
      <c r="C601" t="s">
        <v>742</v>
      </c>
      <c r="D601" t="s">
        <v>135</v>
      </c>
      <c r="E601" t="s">
        <v>36</v>
      </c>
      <c r="F601" s="3">
        <v>4.7699999999999996</v>
      </c>
      <c r="G601">
        <v>565</v>
      </c>
      <c r="H601" s="3">
        <f t="shared" si="18"/>
        <v>2695.0499999999997</v>
      </c>
      <c r="I601" s="3">
        <v>404.26</v>
      </c>
      <c r="J601" s="3">
        <v>2290.79</v>
      </c>
      <c r="K601" t="s">
        <v>61</v>
      </c>
      <c r="L601" t="s">
        <v>19</v>
      </c>
      <c r="M601" t="s">
        <v>93</v>
      </c>
      <c r="N601" t="str">
        <f t="shared" si="19"/>
        <v>Nov</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D0F1-A95B-4034-B663-6A95C9D5D9AA}">
  <dimension ref="A3:B10"/>
  <sheetViews>
    <sheetView zoomScale="99" zoomScaleNormal="99" workbookViewId="0">
      <selection activeCell="M7" sqref="M7"/>
    </sheetView>
  </sheetViews>
  <sheetFormatPr defaultRowHeight="14.4" x14ac:dyDescent="0.3"/>
  <cols>
    <col min="1" max="1" width="10.88671875" bestFit="1" customWidth="1"/>
    <col min="2" max="2" width="14.21875" bestFit="1" customWidth="1"/>
  </cols>
  <sheetData>
    <row r="3" spans="1:2" x14ac:dyDescent="0.3">
      <c r="A3" s="4" t="s">
        <v>1148</v>
      </c>
      <c r="B3" t="s">
        <v>1147</v>
      </c>
    </row>
    <row r="4" spans="1:2" x14ac:dyDescent="0.3">
      <c r="A4" s="5" t="s">
        <v>25</v>
      </c>
      <c r="B4" s="3">
        <v>1185004.8999999994</v>
      </c>
    </row>
    <row r="5" spans="1:2" x14ac:dyDescent="0.3">
      <c r="A5" s="5" t="s">
        <v>61</v>
      </c>
      <c r="B5" s="3">
        <v>960007.21999999986</v>
      </c>
    </row>
    <row r="6" spans="1:2" x14ac:dyDescent="0.3">
      <c r="A6" s="5" t="s">
        <v>18</v>
      </c>
      <c r="B6" s="3">
        <v>1033001.74</v>
      </c>
    </row>
    <row r="7" spans="1:2" x14ac:dyDescent="0.3">
      <c r="A7" s="5" t="s">
        <v>67</v>
      </c>
      <c r="B7" s="3">
        <v>753415.43</v>
      </c>
    </row>
    <row r="8" spans="1:2" x14ac:dyDescent="0.3">
      <c r="A8" s="5" t="s">
        <v>119</v>
      </c>
      <c r="B8" s="3">
        <v>787032.70999999985</v>
      </c>
    </row>
    <row r="9" spans="1:2" x14ac:dyDescent="0.3">
      <c r="A9" s="5" t="s">
        <v>1164</v>
      </c>
      <c r="B9" s="3"/>
    </row>
    <row r="10" spans="1:2" x14ac:dyDescent="0.3">
      <c r="A10" s="5" t="s">
        <v>1146</v>
      </c>
      <c r="B10" s="3">
        <v>4718461.9999999991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A8AD-A5F8-43CC-A329-69F4C6D07411}">
  <dimension ref="A3:F10"/>
  <sheetViews>
    <sheetView workbookViewId="0">
      <selection activeCell="F23" sqref="F23"/>
    </sheetView>
  </sheetViews>
  <sheetFormatPr defaultRowHeight="14.4" x14ac:dyDescent="0.3"/>
  <cols>
    <col min="1" max="1" width="10.77734375" bestFit="1" customWidth="1"/>
    <col min="2" max="6" width="14.109375" bestFit="1" customWidth="1"/>
    <col min="7" max="7" width="11" bestFit="1" customWidth="1"/>
  </cols>
  <sheetData>
    <row r="3" spans="1:6" x14ac:dyDescent="0.3">
      <c r="A3" s="4" t="s">
        <v>1147</v>
      </c>
      <c r="B3" s="4" t="s">
        <v>11</v>
      </c>
    </row>
    <row r="4" spans="1:6" x14ac:dyDescent="0.3">
      <c r="A4" s="4" t="s">
        <v>10</v>
      </c>
      <c r="B4" t="s">
        <v>79</v>
      </c>
      <c r="C4" t="s">
        <v>26</v>
      </c>
      <c r="D4" t="s">
        <v>19</v>
      </c>
      <c r="E4" t="s">
        <v>52</v>
      </c>
      <c r="F4" t="s">
        <v>1146</v>
      </c>
    </row>
    <row r="5" spans="1:6" x14ac:dyDescent="0.3">
      <c r="A5" s="5" t="s">
        <v>25</v>
      </c>
      <c r="B5" s="3">
        <v>251323.61000000004</v>
      </c>
      <c r="C5" s="3">
        <v>415132.60999999993</v>
      </c>
      <c r="D5" s="3">
        <v>250205.73</v>
      </c>
      <c r="E5" s="3">
        <v>268342.94999999995</v>
      </c>
      <c r="F5" s="3">
        <v>1185004.8999999999</v>
      </c>
    </row>
    <row r="6" spans="1:6" x14ac:dyDescent="0.3">
      <c r="A6" s="5" t="s">
        <v>61</v>
      </c>
      <c r="B6" s="3">
        <v>194115.18</v>
      </c>
      <c r="C6" s="3">
        <v>173334.95</v>
      </c>
      <c r="D6" s="3">
        <v>268580.04000000004</v>
      </c>
      <c r="E6" s="3">
        <v>323977.04999999993</v>
      </c>
      <c r="F6" s="3">
        <v>960007.22</v>
      </c>
    </row>
    <row r="7" spans="1:6" x14ac:dyDescent="0.3">
      <c r="A7" s="5" t="s">
        <v>18</v>
      </c>
      <c r="B7" s="3">
        <v>256663.72999999998</v>
      </c>
      <c r="C7" s="3">
        <v>204684.29</v>
      </c>
      <c r="D7" s="3">
        <v>275625.30999999994</v>
      </c>
      <c r="E7" s="3">
        <v>296028.40999999992</v>
      </c>
      <c r="F7" s="3">
        <v>1033001.7399999999</v>
      </c>
    </row>
    <row r="8" spans="1:6" x14ac:dyDescent="0.3">
      <c r="A8" s="5" t="s">
        <v>67</v>
      </c>
      <c r="B8" s="3">
        <v>168468.81999999998</v>
      </c>
      <c r="C8" s="3">
        <v>184048.64000000001</v>
      </c>
      <c r="D8" s="3">
        <v>253785.87</v>
      </c>
      <c r="E8" s="3">
        <v>147112.1</v>
      </c>
      <c r="F8" s="3">
        <v>753415.42999999993</v>
      </c>
    </row>
    <row r="9" spans="1:6" x14ac:dyDescent="0.3">
      <c r="A9" s="5" t="s">
        <v>119</v>
      </c>
      <c r="B9" s="3">
        <v>233782.97000000003</v>
      </c>
      <c r="C9" s="3">
        <v>186482.24000000002</v>
      </c>
      <c r="D9" s="3">
        <v>147173.93</v>
      </c>
      <c r="E9" s="3">
        <v>219593.57</v>
      </c>
      <c r="F9" s="3">
        <v>787032.7100000002</v>
      </c>
    </row>
    <row r="10" spans="1:6" x14ac:dyDescent="0.3">
      <c r="A10" s="5" t="s">
        <v>1146</v>
      </c>
      <c r="B10" s="3">
        <v>1104354.31</v>
      </c>
      <c r="C10" s="3">
        <v>1163682.73</v>
      </c>
      <c r="D10" s="3">
        <v>1195370.8799999999</v>
      </c>
      <c r="E10" s="3">
        <v>1255054.0799999998</v>
      </c>
      <c r="F10" s="3">
        <v>4718462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EC56-E8C6-4BC1-98A9-F72839B2540D}">
  <dimension ref="A3:B11"/>
  <sheetViews>
    <sheetView zoomScale="141" zoomScaleNormal="141" workbookViewId="0">
      <selection activeCell="B19" sqref="B19"/>
    </sheetView>
  </sheetViews>
  <sheetFormatPr defaultRowHeight="14.4" x14ac:dyDescent="0.3"/>
  <cols>
    <col min="1" max="1" width="11" bestFit="1" customWidth="1"/>
    <col min="2" max="2" width="14.33203125" bestFit="1" customWidth="1"/>
  </cols>
  <sheetData>
    <row r="3" spans="1:2" x14ac:dyDescent="0.3">
      <c r="A3" s="4" t="s">
        <v>4</v>
      </c>
      <c r="B3" t="s">
        <v>1147</v>
      </c>
    </row>
    <row r="4" spans="1:2" x14ac:dyDescent="0.3">
      <c r="A4" s="5" t="s">
        <v>24</v>
      </c>
      <c r="B4" s="3">
        <v>944484.20000000007</v>
      </c>
    </row>
    <row r="5" spans="1:2" x14ac:dyDescent="0.3">
      <c r="A5" s="5" t="s">
        <v>42</v>
      </c>
      <c r="B5" s="3">
        <v>626987.35999999964</v>
      </c>
    </row>
    <row r="6" spans="1:2" x14ac:dyDescent="0.3">
      <c r="A6" s="5" t="s">
        <v>36</v>
      </c>
      <c r="B6" s="3">
        <v>797747.2699999999</v>
      </c>
    </row>
    <row r="7" spans="1:2" x14ac:dyDescent="0.3">
      <c r="A7" s="5" t="s">
        <v>32</v>
      </c>
      <c r="B7" s="3">
        <v>745554.45000000019</v>
      </c>
    </row>
    <row r="8" spans="1:2" x14ac:dyDescent="0.3">
      <c r="A8" s="5" t="s">
        <v>17</v>
      </c>
      <c r="B8" s="3">
        <v>861953.84999999963</v>
      </c>
    </row>
    <row r="9" spans="1:2" x14ac:dyDescent="0.3">
      <c r="A9" s="5" t="s">
        <v>51</v>
      </c>
      <c r="B9" s="3">
        <v>741734.87</v>
      </c>
    </row>
    <row r="10" spans="1:2" x14ac:dyDescent="0.3">
      <c r="A10" s="5" t="s">
        <v>1164</v>
      </c>
      <c r="B10" s="3"/>
    </row>
    <row r="11" spans="1:2" x14ac:dyDescent="0.3">
      <c r="A11" s="5" t="s">
        <v>1146</v>
      </c>
      <c r="B11" s="3">
        <v>4718461.9999999991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DA7A-3FD5-4F69-9BEE-025C11335E60}">
  <dimension ref="A3:B16"/>
  <sheetViews>
    <sheetView workbookViewId="0">
      <selection activeCell="J25" sqref="J25"/>
    </sheetView>
  </sheetViews>
  <sheetFormatPr defaultRowHeight="14.4" x14ac:dyDescent="0.3"/>
  <cols>
    <col min="1" max="1" width="10.77734375" bestFit="1" customWidth="1"/>
    <col min="2" max="2" width="14.109375" bestFit="1" customWidth="1"/>
  </cols>
  <sheetData>
    <row r="3" spans="1:2" x14ac:dyDescent="0.3">
      <c r="A3" s="4" t="s">
        <v>1150</v>
      </c>
      <c r="B3" t="s">
        <v>1147</v>
      </c>
    </row>
    <row r="4" spans="1:2" x14ac:dyDescent="0.3">
      <c r="A4" s="5" t="s">
        <v>1152</v>
      </c>
      <c r="B4" s="3">
        <v>478856.87000000005</v>
      </c>
    </row>
    <row r="5" spans="1:2" x14ac:dyDescent="0.3">
      <c r="A5" s="5" t="s">
        <v>1153</v>
      </c>
      <c r="B5" s="3">
        <v>340651.9499999999</v>
      </c>
    </row>
    <row r="6" spans="1:2" x14ac:dyDescent="0.3">
      <c r="A6" s="5" t="s">
        <v>1154</v>
      </c>
      <c r="B6" s="3">
        <v>422122.86000000004</v>
      </c>
    </row>
    <row r="7" spans="1:2" x14ac:dyDescent="0.3">
      <c r="A7" s="5" t="s">
        <v>1155</v>
      </c>
      <c r="B7" s="3">
        <v>302618.23</v>
      </c>
    </row>
    <row r="8" spans="1:2" x14ac:dyDescent="0.3">
      <c r="A8" s="5" t="s">
        <v>1151</v>
      </c>
      <c r="B8" s="3">
        <v>521573.68000000005</v>
      </c>
    </row>
    <row r="9" spans="1:2" x14ac:dyDescent="0.3">
      <c r="A9" s="5" t="s">
        <v>1156</v>
      </c>
      <c r="B9" s="3">
        <v>296790.64999999997</v>
      </c>
    </row>
    <row r="10" spans="1:2" x14ac:dyDescent="0.3">
      <c r="A10" s="5" t="s">
        <v>1157</v>
      </c>
      <c r="B10" s="3">
        <v>367004.45</v>
      </c>
    </row>
    <row r="11" spans="1:2" x14ac:dyDescent="0.3">
      <c r="A11" s="5" t="s">
        <v>1158</v>
      </c>
      <c r="B11" s="3">
        <v>477556.9</v>
      </c>
    </row>
    <row r="12" spans="1:2" x14ac:dyDescent="0.3">
      <c r="A12" s="5" t="s">
        <v>1159</v>
      </c>
      <c r="B12" s="3">
        <v>324550.02000000008</v>
      </c>
    </row>
    <row r="13" spans="1:2" x14ac:dyDescent="0.3">
      <c r="A13" s="5" t="s">
        <v>1160</v>
      </c>
      <c r="B13" s="3">
        <v>465635.37000000005</v>
      </c>
    </row>
    <row r="14" spans="1:2" x14ac:dyDescent="0.3">
      <c r="A14" s="5" t="s">
        <v>1161</v>
      </c>
      <c r="B14" s="3">
        <v>383372.49</v>
      </c>
    </row>
    <row r="15" spans="1:2" x14ac:dyDescent="0.3">
      <c r="A15" s="5" t="s">
        <v>1162</v>
      </c>
      <c r="B15" s="3">
        <v>337728.52999999991</v>
      </c>
    </row>
    <row r="16" spans="1:2" x14ac:dyDescent="0.3">
      <c r="A16" s="5" t="s">
        <v>1146</v>
      </c>
      <c r="B16" s="3">
        <v>4718462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75392-C063-4A76-973A-BEB21BC69D2B}">
  <dimension ref="A3:G11"/>
  <sheetViews>
    <sheetView workbookViewId="0">
      <selection activeCell="I27" sqref="I27"/>
    </sheetView>
  </sheetViews>
  <sheetFormatPr defaultRowHeight="14.4" x14ac:dyDescent="0.3"/>
  <cols>
    <col min="1" max="1" width="10.77734375" bestFit="1" customWidth="1"/>
    <col min="2" max="2" width="14.109375" bestFit="1" customWidth="1"/>
    <col min="3" max="3" width="13.109375" bestFit="1" customWidth="1"/>
    <col min="4" max="4" width="14.109375" bestFit="1" customWidth="1"/>
    <col min="5" max="6" width="13.109375" bestFit="1" customWidth="1"/>
    <col min="7" max="7" width="14.109375" bestFit="1" customWidth="1"/>
    <col min="8" max="8" width="10.77734375" bestFit="1" customWidth="1"/>
  </cols>
  <sheetData>
    <row r="3" spans="1:7" x14ac:dyDescent="0.3">
      <c r="A3" s="4" t="s">
        <v>1147</v>
      </c>
      <c r="B3" s="4" t="s">
        <v>1148</v>
      </c>
    </row>
    <row r="4" spans="1:7" x14ac:dyDescent="0.3">
      <c r="A4" s="4" t="s">
        <v>4</v>
      </c>
      <c r="B4" t="s">
        <v>25</v>
      </c>
      <c r="C4" t="s">
        <v>61</v>
      </c>
      <c r="D4" t="s">
        <v>18</v>
      </c>
      <c r="E4" t="s">
        <v>67</v>
      </c>
      <c r="F4" t="s">
        <v>119</v>
      </c>
      <c r="G4" t="s">
        <v>1146</v>
      </c>
    </row>
    <row r="5" spans="1:7" x14ac:dyDescent="0.3">
      <c r="A5" s="5" t="s">
        <v>24</v>
      </c>
      <c r="B5" s="3">
        <v>291436.33000000007</v>
      </c>
      <c r="C5" s="3">
        <v>207474.41</v>
      </c>
      <c r="D5" s="3">
        <v>193607.34999999998</v>
      </c>
      <c r="E5" s="3">
        <v>122371.85</v>
      </c>
      <c r="F5" s="3">
        <v>129594.26000000002</v>
      </c>
      <c r="G5" s="3">
        <v>944484.20000000007</v>
      </c>
    </row>
    <row r="6" spans="1:7" x14ac:dyDescent="0.3">
      <c r="A6" s="5" t="s">
        <v>42</v>
      </c>
      <c r="B6" s="3">
        <v>137120.86000000002</v>
      </c>
      <c r="C6" s="3">
        <v>186939.02000000002</v>
      </c>
      <c r="D6" s="3">
        <v>123001.33000000002</v>
      </c>
      <c r="E6" s="3">
        <v>70183.41</v>
      </c>
      <c r="F6" s="3">
        <v>109742.74</v>
      </c>
      <c r="G6" s="3">
        <v>626987.36</v>
      </c>
    </row>
    <row r="7" spans="1:7" x14ac:dyDescent="0.3">
      <c r="A7" s="5" t="s">
        <v>36</v>
      </c>
      <c r="B7" s="3">
        <v>174542.49</v>
      </c>
      <c r="C7" s="3">
        <v>139629.63000000003</v>
      </c>
      <c r="D7" s="3">
        <v>165068.22999999998</v>
      </c>
      <c r="E7" s="3">
        <v>172592.55999999997</v>
      </c>
      <c r="F7" s="3">
        <v>145914.36000000002</v>
      </c>
      <c r="G7" s="3">
        <v>797747.2699999999</v>
      </c>
    </row>
    <row r="8" spans="1:7" x14ac:dyDescent="0.3">
      <c r="A8" s="5" t="s">
        <v>32</v>
      </c>
      <c r="B8" s="3">
        <v>199032.38</v>
      </c>
      <c r="C8" s="3">
        <v>109380.30000000002</v>
      </c>
      <c r="D8" s="3">
        <v>167816.56</v>
      </c>
      <c r="E8" s="3">
        <v>154577.33999999997</v>
      </c>
      <c r="F8" s="3">
        <v>114747.87000000001</v>
      </c>
      <c r="G8" s="3">
        <v>745554.45000000007</v>
      </c>
    </row>
    <row r="9" spans="1:7" x14ac:dyDescent="0.3">
      <c r="A9" s="5" t="s">
        <v>17</v>
      </c>
      <c r="B9" s="3">
        <v>177040.03</v>
      </c>
      <c r="C9" s="3">
        <v>188041.11999999997</v>
      </c>
      <c r="D9" s="3">
        <v>215940.95999999996</v>
      </c>
      <c r="E9" s="3">
        <v>118582.86000000002</v>
      </c>
      <c r="F9" s="3">
        <v>162348.88000000003</v>
      </c>
      <c r="G9" s="3">
        <v>861953.84999999986</v>
      </c>
    </row>
    <row r="10" spans="1:7" x14ac:dyDescent="0.3">
      <c r="A10" s="5" t="s">
        <v>51</v>
      </c>
      <c r="B10" s="3">
        <v>205832.80999999997</v>
      </c>
      <c r="C10" s="3">
        <v>128542.74</v>
      </c>
      <c r="D10" s="3">
        <v>167567.31</v>
      </c>
      <c r="E10" s="3">
        <v>115107.41</v>
      </c>
      <c r="F10" s="3">
        <v>124684.60000000002</v>
      </c>
      <c r="G10" s="3">
        <v>741734.87</v>
      </c>
    </row>
    <row r="11" spans="1:7" x14ac:dyDescent="0.3">
      <c r="A11" s="5" t="s">
        <v>1146</v>
      </c>
      <c r="B11" s="3">
        <v>1185004.9000000001</v>
      </c>
      <c r="C11" s="3">
        <v>960007.22000000009</v>
      </c>
      <c r="D11" s="3">
        <v>1033001.74</v>
      </c>
      <c r="E11" s="3">
        <v>753415.42999999993</v>
      </c>
      <c r="F11" s="3">
        <v>787032.71000000008</v>
      </c>
      <c r="G11" s="3">
        <v>4718462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22FA0-FBCA-4984-A05F-D3914E5BADA0}">
  <dimension ref="A1:N2"/>
  <sheetViews>
    <sheetView showGridLines="0" tabSelected="1" topLeftCell="A28" zoomScale="92" zoomScaleNormal="92" workbookViewId="0">
      <selection activeCell="AE44" sqref="AE44"/>
    </sheetView>
  </sheetViews>
  <sheetFormatPr defaultRowHeight="14.4" x14ac:dyDescent="0.3"/>
  <cols>
    <col min="1" max="16384" width="8.88671875" style="6"/>
  </cols>
  <sheetData>
    <row r="1" spans="1:14" x14ac:dyDescent="0.3">
      <c r="A1" s="7" t="s">
        <v>1163</v>
      </c>
      <c r="B1" s="8"/>
      <c r="C1" s="8"/>
      <c r="D1" s="8"/>
      <c r="E1" s="8"/>
      <c r="F1" s="8"/>
      <c r="G1" s="8"/>
      <c r="H1" s="8"/>
      <c r="I1" s="8"/>
      <c r="J1" s="8"/>
      <c r="K1" s="8"/>
      <c r="L1" s="8"/>
      <c r="M1" s="8"/>
      <c r="N1" s="8"/>
    </row>
    <row r="2" spans="1:14" ht="36.6" customHeight="1" x14ac:dyDescent="0.3">
      <c r="A2" s="8"/>
      <c r="B2" s="8"/>
      <c r="C2" s="8"/>
      <c r="D2" s="8"/>
      <c r="E2" s="8"/>
      <c r="F2" s="8"/>
      <c r="G2" s="8"/>
      <c r="H2" s="8"/>
      <c r="I2" s="8"/>
      <c r="J2" s="8"/>
      <c r="K2" s="8"/>
      <c r="L2" s="8"/>
      <c r="M2" s="8"/>
      <c r="N2" s="8"/>
    </row>
  </sheetData>
  <mergeCells count="1">
    <mergeCell ref="A1: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Chocolate_Sales</vt:lpstr>
      <vt:lpstr>Sales by region</vt:lpstr>
      <vt:lpstr>Sales by Region &amp; Channel</vt:lpstr>
      <vt:lpstr>Sales by Category</vt:lpstr>
      <vt:lpstr>Monthly Sales</vt:lpstr>
      <vt:lpstr>Sales by Category &amp; Region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Siddhi Kanavaje</cp:lastModifiedBy>
  <dcterms:created xsi:type="dcterms:W3CDTF">2026-02-22T07:01:40Z</dcterms:created>
  <dcterms:modified xsi:type="dcterms:W3CDTF">2026-04-07T14:14:19Z</dcterms:modified>
</cp:coreProperties>
</file>